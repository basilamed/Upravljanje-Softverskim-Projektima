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7A2D7E96-6E34-419A-AE5F-296B3A7E7977}"/>
  <workbookPr filterPrivacy="1" showInkAnnotation="0" codeName="ThisWorkbook" defaultThemeVersion="124226"/>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6" tabRatio="684"/>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Stay'!$A$1:$S$15</definedName>
    <definedName name="_xlnm.Print_Area" localSheetId="2">'1. Staff costs'!$A$1:$U$15</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costs'!$15:$1048576,'1.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N13" i="39" l="1"/>
  <c r="N14" i="39"/>
  <c r="L29" i="41" l="1"/>
  <c r="L30" i="41"/>
  <c r="L31" i="4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28" i="41" l="1"/>
  <c r="E21" i="4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R13" i="39" l="1"/>
  <c r="P13" i="39" s="1"/>
  <c r="T14" i="40"/>
  <c r="M14" i="40" s="1"/>
  <c r="N14" i="40" s="1"/>
  <c r="H16" i="55"/>
  <c r="J13" i="71"/>
  <c r="I13" i="71" s="1"/>
  <c r="I13" i="26"/>
  <c r="I13" i="70"/>
  <c r="F8" i="55"/>
  <c r="I14" i="26"/>
  <c r="H14" i="26" s="1"/>
  <c r="I14" i="70"/>
  <c r="H14" i="70" s="1"/>
  <c r="G5" i="55" s="1"/>
  <c r="G10" i="55" s="1"/>
  <c r="J14" i="71"/>
  <c r="T13" i="40"/>
  <c r="I17" i="41" l="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S14" i="40"/>
  <c r="C6" i="55" s="1"/>
  <c r="E7" i="40"/>
  <c r="R13" i="40"/>
  <c r="E6" i="40"/>
  <c r="N13" i="40"/>
  <c r="D7" i="40" s="1"/>
  <c r="H13" i="40"/>
  <c r="D5" i="40" s="1"/>
  <c r="M13" i="40"/>
  <c r="G13" i="40"/>
  <c r="E5" i="40"/>
  <c r="Q13" i="40"/>
  <c r="J13" i="40"/>
  <c r="E8" i="40"/>
  <c r="K13" i="40"/>
  <c r="D6" i="40" s="1"/>
  <c r="P13" i="40"/>
  <c r="S13" i="40"/>
  <c r="C7" i="55" s="1"/>
  <c r="D8" i="40" l="1"/>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D9" i="40"/>
  <c r="D17" i="41" s="1"/>
  <c r="L28" i="41" l="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<sst xmlns="http://schemas.openxmlformats.org/spreadsheetml/2006/main" count="664" uniqueCount="360">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</sst>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7" borderId="1" xfId="0" applyFont="1" applyFill="1" applyBorder="1" applyProtection="1"/>
    <xf numFmtId="4" fontId="20" fillId="7" borderId="1" xfId="0" applyNumberFormat="1" applyFont="1" applyFill="1" applyBorder="1" applyProtection="1"/>
    <xf numFmtId="0" fontId="20" fillId="6"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8" borderId="1" xfId="0" applyNumberFormat="1" applyFont="1" applyFill="1" applyBorder="1" applyAlignment="1" applyProtection="1">
      <alignment horizontal="right"/>
    </xf>
    <xf numFmtId="4" fontId="20" fillId="6"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6"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5"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cellXfs>
  <cellStyles count="6">
    <cellStyle name="Comma" xfId="1" builtinId="3"/>
    <cellStyle name="Hyperlink" xfId="2" builtinId="8"/>
    <cellStyle name="Hyperlink 2" xfId="4"/>
    <cellStyle name="Normal" xfId="0" builtinId="0"/>
    <cellStyle name="Normal 2" xfId="3"/>
    <cellStyle name="Percent" xfId="5" builtinId="5"/>
  </cellStyles>
  <dxfs count="81">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abSelected="1" zoomScale="70" zoomScaleNormal="70" zoomScaleSheetLayoutView="85" workbookViewId="0">
      <selection activeCell="D11" sqref="D11"/>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25">
      <c r="G1" s="3"/>
      <c r="H1" s="3"/>
      <c r="I1" s="3"/>
      <c r="J1" s="3"/>
      <c r="K1" s="3"/>
      <c r="L1" s="3"/>
    </row>
    <row r="2" spans="2:12" s="6" customFormat="1" x14ac:dyDescent="0.25">
      <c r="B2" s="4"/>
      <c r="C2" s="4"/>
      <c r="D2" s="5"/>
      <c r="E2" s="5"/>
      <c r="F2" s="5"/>
      <c r="G2" s="3"/>
      <c r="H2" s="3"/>
      <c r="I2" s="3"/>
      <c r="J2" s="3"/>
      <c r="K2" s="3"/>
      <c r="L2" s="3"/>
    </row>
    <row r="3" spans="2:12" s="6" customFormat="1" x14ac:dyDescent="0.25">
      <c r="B3" s="4"/>
      <c r="C3" s="4"/>
      <c r="D3" s="7" t="s">
        <v>133</v>
      </c>
      <c r="E3" s="8"/>
      <c r="F3" s="5"/>
      <c r="G3" s="3"/>
      <c r="H3" s="3"/>
      <c r="I3" s="3"/>
      <c r="J3" s="3"/>
      <c r="K3" s="3"/>
      <c r="L3" s="3"/>
    </row>
    <row r="4" spans="2:12" s="6" customFormat="1" ht="20.100000000000001" customHeight="1" x14ac:dyDescent="0.25">
      <c r="B4" s="4"/>
      <c r="D4" s="7" t="s">
        <v>311</v>
      </c>
      <c r="E4" s="9"/>
      <c r="F4" s="9"/>
      <c r="G4" s="9"/>
      <c r="H4" s="9"/>
      <c r="I4" s="9"/>
      <c r="J4" s="9"/>
      <c r="K4" s="9"/>
      <c r="L4" s="9"/>
    </row>
    <row r="5" spans="2:12" s="6" customFormat="1" ht="20.100000000000001" customHeight="1" x14ac:dyDescent="0.25">
      <c r="B5" s="4"/>
      <c r="D5" s="9"/>
      <c r="E5" s="9"/>
      <c r="F5" s="9"/>
      <c r="G5" s="9"/>
      <c r="H5" s="9"/>
      <c r="I5" s="9"/>
      <c r="J5" s="9"/>
      <c r="K5" s="9"/>
      <c r="L5" s="9"/>
    </row>
    <row r="6" spans="2:12" s="6" customFormat="1" ht="9.9" customHeight="1" x14ac:dyDescent="0.25">
      <c r="B6" s="10"/>
      <c r="C6" s="10"/>
      <c r="D6" s="5"/>
      <c r="E6" s="5"/>
      <c r="F6" s="5"/>
      <c r="G6" s="5"/>
      <c r="H6" s="5"/>
      <c r="I6" s="5"/>
      <c r="J6" s="5"/>
      <c r="K6" s="5"/>
    </row>
    <row r="7" spans="2:12" s="6" customFormat="1" ht="24.9" customHeight="1" x14ac:dyDescent="0.25">
      <c r="B7" s="118" t="s">
        <v>355</v>
      </c>
      <c r="C7" s="118"/>
      <c r="D7" s="118"/>
      <c r="E7" s="118"/>
      <c r="F7" s="118"/>
      <c r="G7" s="118"/>
      <c r="H7" s="118"/>
      <c r="I7" s="118"/>
      <c r="J7" s="118"/>
      <c r="K7" s="118"/>
      <c r="L7" s="118"/>
    </row>
    <row r="8" spans="2:12" s="6" customFormat="1" ht="24.9" customHeight="1" x14ac:dyDescent="0.35">
      <c r="B8" s="119" t="s">
        <v>356</v>
      </c>
      <c r="C8" s="119"/>
      <c r="D8" s="119"/>
      <c r="E8" s="119"/>
      <c r="F8" s="119"/>
      <c r="G8" s="119"/>
      <c r="H8" s="119"/>
      <c r="I8" s="119"/>
      <c r="J8" s="119"/>
      <c r="K8" s="119"/>
      <c r="L8" s="119"/>
    </row>
    <row r="9" spans="2:12" s="6" customFormat="1" ht="24.9" customHeight="1" x14ac:dyDescent="0.25">
      <c r="B9" s="120" t="s">
        <v>130</v>
      </c>
      <c r="C9" s="120"/>
      <c r="D9" s="120"/>
      <c r="E9" s="120"/>
      <c r="F9" s="120"/>
      <c r="G9" s="120"/>
      <c r="H9" s="120"/>
      <c r="I9" s="120"/>
      <c r="J9" s="120"/>
      <c r="K9" s="120"/>
      <c r="L9" s="120"/>
    </row>
    <row r="10" spans="2:12" s="6" customFormat="1" ht="20.100000000000001" customHeight="1" x14ac:dyDescent="0.25">
      <c r="B10" s="10"/>
      <c r="C10" s="10"/>
      <c r="D10" s="5"/>
      <c r="E10" s="5"/>
      <c r="F10" s="5"/>
      <c r="G10" s="5"/>
      <c r="H10" s="5"/>
      <c r="I10" s="5"/>
      <c r="J10" s="5"/>
      <c r="K10" s="5"/>
    </row>
    <row r="11" spans="2:12" s="6" customFormat="1" ht="18" customHeight="1" x14ac:dyDescent="0.25">
      <c r="B11" s="112" t="s">
        <v>2</v>
      </c>
      <c r="C11" s="112"/>
      <c r="D11" s="11"/>
      <c r="E11" s="114" t="str">
        <f>IF(D11="","Please select Action Type",IF(OR(D11="Joint Project",D11="Structural Project"),"","Error Type of Action"))</f>
        <v>Please select Action Type</v>
      </c>
      <c r="F11" s="114"/>
      <c r="G11" s="114"/>
      <c r="H11" s="114"/>
      <c r="I11" s="114"/>
      <c r="J11" s="114"/>
      <c r="K11" s="114"/>
      <c r="L11" s="114"/>
    </row>
    <row r="12" spans="2:12" s="6" customFormat="1" ht="18" customHeight="1" x14ac:dyDescent="0.25">
      <c r="B12" s="112" t="s">
        <v>136</v>
      </c>
      <c r="C12" s="112"/>
      <c r="D12" s="11"/>
      <c r="E12" s="114" t="str">
        <f>IF(D12="","Please select duration",IF(OR(D12=24,D12=36),"","Error duration"))</f>
        <v>Please select duration</v>
      </c>
      <c r="F12" s="114"/>
      <c r="G12" s="114"/>
      <c r="H12" s="114"/>
      <c r="I12" s="114"/>
      <c r="J12" s="114"/>
      <c r="K12" s="114"/>
      <c r="L12" s="114"/>
    </row>
    <row r="13" spans="2:12" s="6" customFormat="1" ht="18" customHeight="1" x14ac:dyDescent="0.25">
      <c r="B13" s="112" t="s">
        <v>169</v>
      </c>
      <c r="C13" s="112"/>
      <c r="D13" s="11"/>
      <c r="E13" s="114" t="str">
        <f>IF(D13="","Please fill in Project Acronym","")</f>
        <v>Please fill in Project Acronym</v>
      </c>
      <c r="F13" s="114"/>
      <c r="G13" s="114"/>
      <c r="H13" s="114"/>
      <c r="I13" s="114"/>
      <c r="J13" s="114"/>
      <c r="K13" s="114"/>
      <c r="L13" s="114"/>
    </row>
    <row r="14" spans="2:12" s="6" customFormat="1" ht="18" customHeight="1" x14ac:dyDescent="0.25">
      <c r="B14" s="112" t="s">
        <v>170</v>
      </c>
      <c r="C14" s="112"/>
      <c r="D14" s="115"/>
      <c r="E14" s="116"/>
      <c r="F14" s="116"/>
      <c r="G14" s="116"/>
      <c r="H14" s="116"/>
      <c r="I14" s="116"/>
      <c r="J14" s="116"/>
      <c r="K14" s="116"/>
      <c r="L14" s="117"/>
    </row>
    <row r="15" spans="2:12" s="6" customFormat="1" ht="20.100000000000001" customHeight="1" x14ac:dyDescent="0.25">
      <c r="B15" s="5"/>
      <c r="C15" s="5"/>
      <c r="D15" s="5"/>
      <c r="E15" s="5"/>
      <c r="F15" s="12"/>
      <c r="G15" s="5"/>
      <c r="H15" s="5"/>
      <c r="I15" s="5"/>
      <c r="J15" s="5"/>
      <c r="K15" s="5"/>
    </row>
    <row r="16" spans="2:12" s="6" customFormat="1" ht="24.9" customHeight="1" x14ac:dyDescent="0.25">
      <c r="B16" s="113" t="s">
        <v>222</v>
      </c>
      <c r="C16" s="113"/>
      <c r="D16" s="113"/>
      <c r="E16" s="113"/>
      <c r="F16" s="113"/>
      <c r="G16" s="113"/>
      <c r="H16" s="113"/>
      <c r="I16" s="113"/>
      <c r="J16" s="113"/>
      <c r="K16" s="113"/>
      <c r="L16" s="113"/>
    </row>
    <row r="17" spans="2:12" s="6" customFormat="1" x14ac:dyDescent="0.25">
      <c r="B17" s="112" t="s">
        <v>166</v>
      </c>
      <c r="C17" s="112"/>
      <c r="D17" s="13">
        <f>'1. Staff costs'!D9</f>
        <v>0</v>
      </c>
      <c r="E17" s="121" t="str">
        <f>"Cannot exceed 40% of total Grant requested"</f>
        <v>Cannot exceed 40% of total Grant requested</v>
      </c>
      <c r="F17" s="122"/>
      <c r="G17" s="122"/>
      <c r="H17" s="122"/>
      <c r="I17" s="123" t="str">
        <f>IF(COUNTIF('1. Staff costs'!T:T,"Error")&lt;=1,"","Please check data in Tab '1. Staff Costs'")</f>
        <v>Please check data in Tab '1. Staff Costs'</v>
      </c>
      <c r="J17" s="123"/>
      <c r="K17" s="123"/>
      <c r="L17" s="124"/>
    </row>
    <row r="18" spans="2:12" s="6" customFormat="1" x14ac:dyDescent="0.25">
      <c r="B18" s="112" t="s">
        <v>341</v>
      </c>
      <c r="C18" s="112"/>
      <c r="D18" s="13">
        <f>' 2-3-6. Travel&amp;Costs of Stay'!D8</f>
        <v>0</v>
      </c>
      <c r="E18" s="121"/>
      <c r="F18" s="122"/>
      <c r="G18" s="122"/>
      <c r="H18" s="122"/>
      <c r="I18" s="123" t="str">
        <f>IF(COUNTIF(' 2-3-6. Travel&amp;Costs of Stay'!R:R,"Error")&lt;=1,"","Please check data in Tab '2-3-6. Travel&amp;Costs of Stay'")</f>
        <v>Please check data in Tab '2-3-6. Travel&amp;Costs of Stay'</v>
      </c>
      <c r="J18" s="123"/>
      <c r="K18" s="123"/>
      <c r="L18" s="124"/>
    </row>
    <row r="19" spans="2:12" s="6" customFormat="1" x14ac:dyDescent="0.25">
      <c r="B19" s="112" t="s">
        <v>187</v>
      </c>
      <c r="C19" s="112"/>
      <c r="D19" s="13">
        <f>' 2-3-6. Travel&amp;Costs of Stay'!D9</f>
        <v>0</v>
      </c>
      <c r="E19" s="131"/>
      <c r="F19" s="132"/>
      <c r="G19" s="132"/>
      <c r="H19" s="132"/>
      <c r="I19" s="123" t="str">
        <f>IF(COUNTIF(' 2-3-6. Travel&amp;Costs of Stay'!R:R,"Error")&lt;=1,"","Please check data in Tab '2-3-6. Travel&amp;Costs of Stay'")</f>
        <v>Please check data in Tab '2-3-6. Travel&amp;Costs of Stay'</v>
      </c>
      <c r="J19" s="123"/>
      <c r="K19" s="123"/>
      <c r="L19" s="124"/>
    </row>
    <row r="20" spans="2:12" s="6" customFormat="1" x14ac:dyDescent="0.25">
      <c r="B20" s="112" t="s">
        <v>185</v>
      </c>
      <c r="C20" s="112"/>
      <c r="D20" s="13">
        <f>'4. Equipment Costs'!C4</f>
        <v>0</v>
      </c>
      <c r="E20" s="121" t="str">
        <f>"Cannot exceed 30% of Total Grant requested"</f>
        <v>Cannot exceed 30% of Total Grant requested</v>
      </c>
      <c r="F20" s="122"/>
      <c r="G20" s="122"/>
      <c r="H20" s="122"/>
      <c r="I20" s="123" t="str">
        <f>IF(COUNTIF('4. Equipment Costs'!I:I,"Error")&lt;=1,"","Please check data in Tab '4. Equipment Costs''")</f>
        <v>Please check data in Tab '4. Equipment Costs''</v>
      </c>
      <c r="J20" s="123"/>
      <c r="K20" s="123"/>
      <c r="L20" s="124"/>
    </row>
    <row r="21" spans="2:12" s="6" customFormat="1" x14ac:dyDescent="0.25">
      <c r="B21" s="112" t="s">
        <v>186</v>
      </c>
      <c r="C21" s="112"/>
      <c r="D21" s="13">
        <f>'5. Subcontracting Costs'!C4</f>
        <v>0</v>
      </c>
      <c r="E21" s="121" t="str">
        <f>"Cannot exceed 10% of Total Grant requested"</f>
        <v>Cannot exceed 10% of Total Grant requested</v>
      </c>
      <c r="F21" s="122"/>
      <c r="G21" s="122"/>
      <c r="H21" s="122"/>
      <c r="I21" s="123" t="str">
        <f>IF(COUNTIF('5. Subcontracting Costs'!I:I,"Error")&lt;=1,"","Please check data in Tab '5. Subcontracting Costs'")</f>
        <v>Please check data in Tab '5. Subcontracting Costs'</v>
      </c>
      <c r="J21" s="123"/>
      <c r="K21" s="123"/>
      <c r="L21" s="124"/>
    </row>
    <row r="22" spans="2:12" s="6" customFormat="1" x14ac:dyDescent="0.25">
      <c r="B22" s="112" t="s">
        <v>340</v>
      </c>
      <c r="C22" s="112"/>
      <c r="D22" s="13">
        <f>IF(OR(C27="",D27=""),0,' 2-3-6. Travel&amp;Costs of Stay'!D10)</f>
        <v>0</v>
      </c>
      <c r="E22" s="121"/>
      <c r="F22" s="122"/>
      <c r="G22" s="122"/>
      <c r="H22" s="122"/>
      <c r="I22" s="123" t="str">
        <f>IF(COUNTIF(' 2-3-6. Travel&amp;Costs of Stay'!R:R,"Error")&lt;=1,"","Please check data in Tab '2-3-6. Travel&amp;Costs of Stay'")</f>
        <v>Please check data in Tab '2-3-6. Travel&amp;Costs of Stay'</v>
      </c>
      <c r="J22" s="123"/>
      <c r="K22" s="123"/>
      <c r="L22" s="124"/>
    </row>
    <row r="23" spans="2:12" ht="24.9" customHeight="1" x14ac:dyDescent="0.25">
      <c r="B23" s="125" t="s">
        <v>332</v>
      </c>
      <c r="C23" s="126"/>
      <c r="D23" s="14">
        <f>SUM(D17:D22)</f>
        <v>0</v>
      </c>
      <c r="E23" s="127" t="str">
        <f>"Should be equal or above EUR 500.000,00 and cannot exceed EUR 1.000.000,00"</f>
        <v>Should be equal or above EUR 500.000,00 and cannot exceed EUR 1.000.000,00</v>
      </c>
      <c r="F23" s="128"/>
      <c r="G23" s="128"/>
      <c r="H23" s="128"/>
      <c r="I23" s="129" t="str">
        <f>IF(OR(COUNTIF('Co-financing'!J:J,"Error")&lt;=1,AND('Co-financing'!B14="",'Co-financing'!E14="",'Co-financing'!F14="",'Co-financing'!G14="",'Co-financing'!H14=0)),"","Please check data in Tab 'Co-financing'")</f>
        <v/>
      </c>
      <c r="J23" s="129"/>
      <c r="K23" s="129"/>
      <c r="L23" s="130"/>
    </row>
    <row r="24" spans="2:12" s="6" customFormat="1" ht="20.100000000000001" customHeight="1" x14ac:dyDescent="0.25">
      <c r="B24" s="5"/>
      <c r="C24" s="5"/>
      <c r="D24" s="5"/>
      <c r="E24" s="5"/>
      <c r="F24" s="12"/>
      <c r="G24" s="5"/>
      <c r="H24" s="5"/>
      <c r="I24" s="5"/>
      <c r="J24" s="5"/>
      <c r="K24" s="5"/>
    </row>
    <row r="25" spans="2:12" s="6" customFormat="1" ht="24.9" customHeight="1" x14ac:dyDescent="0.25">
      <c r="B25" s="113" t="s">
        <v>179</v>
      </c>
      <c r="C25" s="113"/>
      <c r="D25" s="113"/>
      <c r="E25" s="113"/>
      <c r="F25" s="113"/>
      <c r="G25" s="113"/>
      <c r="H25" s="113"/>
      <c r="I25" s="113"/>
      <c r="J25" s="113"/>
      <c r="K25" s="113"/>
      <c r="L25" s="113"/>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25">
      <c r="B27" s="48" t="s">
        <v>8</v>
      </c>
      <c r="C27" s="22"/>
      <c r="D27" s="18"/>
      <c r="E27" s="19" t="str">
        <f t="shared" ref="E27:E81" si="0">IFERROR(IF(D27&lt;&gt;"",VLOOKUP(D27,CountryType,2,FALSE),""),"Country not found")</f>
        <v/>
      </c>
      <c r="F27" s="20">
        <f>SUMIF('1. Staff costs'!C:C,B27,'1. Staff costs'!S:S)</f>
        <v>0</v>
      </c>
      <c r="G27" s="20">
        <f>SUMIF(' 2-3-6. Travel&amp;Costs of Stay'!C:C,B27,' 2-3-6. Travel&amp;Costs of Stay'!O:O)</f>
        <v>0</v>
      </c>
      <c r="H27" s="20">
        <f>SUMIF(' 2-3-6. Travel&amp;Costs of Stay'!C:C,B27,' 2-3-6. Travel&amp;Costs of Stay'!P:P)</f>
        <v>0</v>
      </c>
      <c r="I27" s="20">
        <f>SUMIF('4. Equipment Costs'!C:C,B27,'4. Equipment Costs'!H:H)</f>
        <v>0</v>
      </c>
      <c r="J27" s="20">
        <f>SUMIF('5. Subcontracting Costs'!C:C,B27,'5. Subcontracting Costs'!H:H)</f>
        <v>0</v>
      </c>
      <c r="K27" s="20">
        <f>SUMIF(' 2-3-6. Travel&amp;Costs of Stay'!C:C,B27,' 2-3-6. Travel&amp;Costs of Stay'!N:N)</f>
        <v>0</v>
      </c>
      <c r="L27" s="21">
        <f>IF(OR(C27="",D27=""),0,SUM(F27:K27))</f>
        <v>0</v>
      </c>
    </row>
    <row r="28" spans="2:12" x14ac:dyDescent="0.25">
      <c r="B28" s="48" t="s">
        <v>9</v>
      </c>
      <c r="C28" s="22"/>
      <c r="D28" s="18"/>
      <c r="E28" s="19" t="str">
        <f t="shared" si="0"/>
        <v/>
      </c>
      <c r="F28" s="20">
        <f>SUMIF('1. Staff costs'!C:C,B28,'1. Staff costs'!S:S)</f>
        <v>0</v>
      </c>
      <c r="G28" s="20">
        <f>SUMIF(' 2-3-6. Travel&amp;Costs of Stay'!C:C,B28,' 2-3-6. Travel&amp;Costs of Stay'!O:O)</f>
        <v>0</v>
      </c>
      <c r="H28" s="20">
        <f>SUMIF(' 2-3-6. Travel&amp;Costs of Stay'!C:C,B28,' 2-3-6. Travel&amp;Costs of Stay'!P:P)</f>
        <v>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0</v>
      </c>
    </row>
    <row r="29" spans="2:12" x14ac:dyDescent="0.25">
      <c r="B29" s="48" t="s">
        <v>10</v>
      </c>
      <c r="C29" s="22"/>
      <c r="D29" s="18"/>
      <c r="E29" s="19" t="str">
        <f t="shared" si="0"/>
        <v/>
      </c>
      <c r="F29" s="20">
        <f>SUMIF('1. Staff costs'!C:C,B29,'1. Staff costs'!S:S)</f>
        <v>0</v>
      </c>
      <c r="G29" s="20">
        <f>SUMIF(' 2-3-6. Travel&amp;Costs of Stay'!C:C,B29,' 2-3-6. Travel&amp;Costs of Stay'!O:O)</f>
        <v>0</v>
      </c>
      <c r="H29" s="20">
        <f>SUMIF(' 2-3-6. Travel&amp;Costs of Stay'!C:C,B29,' 2-3-6. Travel&amp;Costs of Stay'!P:P)</f>
        <v>0</v>
      </c>
      <c r="I29" s="20">
        <f>SUMIF('4. Equipment Costs'!C:C,B29,'4. Equipment Costs'!H:H)</f>
        <v>0</v>
      </c>
      <c r="J29" s="20">
        <f>SUMIF('5. Subcontracting Costs'!C:C,B29,'5. Subcontracting Costs'!H:H)</f>
        <v>0</v>
      </c>
      <c r="K29" s="20">
        <f>SUMIF(' 2-3-6. Travel&amp;Costs of Stay'!C:C,B29,' 2-3-6. Travel&amp;Costs of Stay'!N:N)</f>
        <v>0</v>
      </c>
      <c r="L29" s="21">
        <f t="shared" si="1"/>
        <v>0</v>
      </c>
    </row>
    <row r="30" spans="2:12" x14ac:dyDescent="0.25">
      <c r="B30" s="48" t="s">
        <v>11</v>
      </c>
      <c r="C30" s="22"/>
      <c r="D30" s="18"/>
      <c r="E30" s="19" t="str">
        <f t="shared" si="0"/>
        <v/>
      </c>
      <c r="F30" s="20">
        <f>SUMIF('1. Staff costs'!C:C,B30,'1. Staff costs'!S:S)</f>
        <v>0</v>
      </c>
      <c r="G30" s="20">
        <f>SUMIF(' 2-3-6. Travel&amp;Costs of Stay'!C:C,B30,' 2-3-6. Travel&amp;Costs of Stay'!O:O)</f>
        <v>0</v>
      </c>
      <c r="H30" s="20">
        <f>SUMIF(' 2-3-6. Travel&amp;Costs of Stay'!C:C,B30,' 2-3-6. Travel&amp;Costs of Stay'!P:P)</f>
        <v>0</v>
      </c>
      <c r="I30" s="20">
        <f>SUMIF('4. Equipment Costs'!C:C,B30,'4. Equipment Costs'!H:H)</f>
        <v>0</v>
      </c>
      <c r="J30" s="20">
        <f>SUMIF('5. Subcontracting Costs'!C:C,B30,'5. Subcontracting Costs'!H:H)</f>
        <v>0</v>
      </c>
      <c r="K30" s="20">
        <f>SUMIF(' 2-3-6. Travel&amp;Costs of Stay'!C:C,B30,' 2-3-6. Travel&amp;Costs of Stay'!N:N)</f>
        <v>0</v>
      </c>
      <c r="L30" s="21">
        <f t="shared" si="1"/>
        <v>0</v>
      </c>
    </row>
    <row r="31" spans="2:12" x14ac:dyDescent="0.25">
      <c r="B31" s="48" t="s">
        <v>12</v>
      </c>
      <c r="C31" s="22"/>
      <c r="D31" s="18"/>
      <c r="E31" s="19" t="str">
        <f t="shared" si="0"/>
        <v/>
      </c>
      <c r="F31" s="20">
        <f>SUMIF('1. Staff costs'!C:C,B31,'1. Staff costs'!S:S)</f>
        <v>0</v>
      </c>
      <c r="G31" s="20">
        <f>SUMIF(' 2-3-6. Travel&amp;Costs of Stay'!C:C,B31,' 2-3-6. Travel&amp;Costs of Stay'!O:O)</f>
        <v>0</v>
      </c>
      <c r="H31" s="20">
        <f>SUMIF(' 2-3-6. Travel&amp;Costs of Stay'!C:C,B31,' 2-3-6. Travel&amp;Costs of Stay'!P:P)</f>
        <v>0</v>
      </c>
      <c r="I31" s="20">
        <f>SUMIF('4. Equipment Costs'!C:C,B31,'4. Equipment Costs'!H:H)</f>
        <v>0</v>
      </c>
      <c r="J31" s="20">
        <f>SUMIF('5. Subcontracting Costs'!C:C,B31,'5. Subcontracting Costs'!H:H)</f>
        <v>0</v>
      </c>
      <c r="K31" s="20">
        <f>SUMIF(' 2-3-6. Travel&amp;Costs of Stay'!C:C,B31,' 2-3-6. Travel&amp;Costs of Stay'!N:N)</f>
        <v>0</v>
      </c>
      <c r="L31" s="21">
        <f t="shared" si="1"/>
        <v>0</v>
      </c>
    </row>
    <row r="32" spans="2:12" x14ac:dyDescent="0.25">
      <c r="B32" s="48" t="s">
        <v>13</v>
      </c>
      <c r="C32" s="22"/>
      <c r="D32" s="18"/>
      <c r="E32" s="19" t="str">
        <f t="shared" si="0"/>
        <v/>
      </c>
      <c r="F32" s="20">
        <f>SUMIF('1. Staff costs'!C:C,B32,'1. Staff costs'!S:S)</f>
        <v>0</v>
      </c>
      <c r="G32" s="20">
        <f>SUMIF(' 2-3-6. Travel&amp;Costs of Stay'!C:C,B32,' 2-3-6. Travel&amp;Costs of Stay'!O:O)</f>
        <v>0</v>
      </c>
      <c r="H32" s="20">
        <f>SUMIF(' 2-3-6. Travel&amp;Costs of Stay'!C:C,B32,' 2-3-6. Travel&amp;Costs of Stay'!P:P)</f>
        <v>0</v>
      </c>
      <c r="I32" s="20">
        <f>SUMIF('4. Equipment Costs'!C:C,B32,'4. Equipment Costs'!H:H)</f>
        <v>0</v>
      </c>
      <c r="J32" s="20">
        <f>SUMIF('5. Subcontracting Costs'!C:C,B32,'5. Subcontracting Costs'!H:H)</f>
        <v>0</v>
      </c>
      <c r="K32" s="20">
        <f>SUMIF(' 2-3-6. Travel&amp;Costs of Stay'!C:C,B32,' 2-3-6. Travel&amp;Costs of Stay'!N:N)</f>
        <v>0</v>
      </c>
      <c r="L32" s="21">
        <f t="shared" si="1"/>
        <v>0</v>
      </c>
    </row>
    <row r="33" spans="2:12" x14ac:dyDescent="0.25">
      <c r="B33" s="48" t="s">
        <v>14</v>
      </c>
      <c r="C33" s="22"/>
      <c r="D33" s="18"/>
      <c r="E33" s="19" t="str">
        <f t="shared" si="0"/>
        <v/>
      </c>
      <c r="F33" s="20">
        <f>SUMIF('1. Staff costs'!C:C,B33,'1. Staff costs'!S:S)</f>
        <v>0</v>
      </c>
      <c r="G33" s="20">
        <f>SUMIF(' 2-3-6. Travel&amp;Costs of Stay'!C:C,B33,' 2-3-6. Travel&amp;Costs of Stay'!O:O)</f>
        <v>0</v>
      </c>
      <c r="H33" s="20">
        <f>SUMIF(' 2-3-6. Travel&amp;Costs of Stay'!C:C,B33,' 2-3-6. Travel&amp;Costs of Stay'!P:P)</f>
        <v>0</v>
      </c>
      <c r="I33" s="20">
        <f>SUMIF('4. Equipment Costs'!C:C,B33,'4. Equipment Costs'!H:H)</f>
        <v>0</v>
      </c>
      <c r="J33" s="20">
        <f>SUMIF('5. Subcontracting Costs'!C:C,B33,'5. Subcontracting Costs'!H:H)</f>
        <v>0</v>
      </c>
      <c r="K33" s="20">
        <f>SUMIF(' 2-3-6. Travel&amp;Costs of Stay'!C:C,B33,' 2-3-6. Travel&amp;Costs of Stay'!N:N)</f>
        <v>0</v>
      </c>
      <c r="L33" s="21">
        <f t="shared" si="1"/>
        <v>0</v>
      </c>
    </row>
    <row r="34" spans="2:12" x14ac:dyDescent="0.35">
      <c r="B34" s="48" t="s">
        <v>15</v>
      </c>
      <c r="C34" s="22"/>
      <c r="D34" s="18"/>
      <c r="E34" s="19" t="str">
        <f t="shared" si="0"/>
        <v/>
      </c>
      <c r="F34" s="20">
        <f>SUMIF('1. Staff costs'!C:C,B34,'1. Staff costs'!S:S)</f>
        <v>0</v>
      </c>
      <c r="G34" s="20">
        <f>SUMIF(' 2-3-6. Travel&amp;Costs of Stay'!C:C,B34,' 2-3-6. Travel&amp;Costs of Stay'!O:O)</f>
        <v>0</v>
      </c>
      <c r="H34" s="20">
        <f>SUMIF(' 2-3-6. Travel&amp;Costs of Stay'!C:C,B34,' 2-3-6. Travel&amp;Costs of Stay'!P:P)</f>
        <v>0</v>
      </c>
      <c r="I34" s="20">
        <f>SUMIF('4. Equipment Costs'!C:C,B34,'4. Equipment Costs'!H:H)</f>
        <v>0</v>
      </c>
      <c r="J34" s="20">
        <f>SUMIF('5. Subcontracting Costs'!C:C,B34,'5. Subcontracting Costs'!H:H)</f>
        <v>0</v>
      </c>
      <c r="K34" s="20">
        <f>SUMIF(' 2-3-6. Travel&amp;Costs of Stay'!C:C,B34,' 2-3-6. Travel&amp;Costs of Stay'!N:N)</f>
        <v>0</v>
      </c>
      <c r="L34" s="21">
        <f t="shared" si="1"/>
        <v>0</v>
      </c>
    </row>
    <row r="35" spans="2:12" x14ac:dyDescent="0.35">
      <c r="B35" s="48" t="s">
        <v>16</v>
      </c>
      <c r="C35" s="22"/>
      <c r="D35" s="18"/>
      <c r="E35" s="19" t="str">
        <f t="shared" si="0"/>
        <v/>
      </c>
      <c r="F35" s="20">
        <f>SUMIF('1. Staff costs'!C:C,B35,'1. Staff costs'!S:S)</f>
        <v>0</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0</v>
      </c>
    </row>
    <row r="36" spans="2:12" x14ac:dyDescent="0.35">
      <c r="B36" s="48" t="s">
        <v>17</v>
      </c>
      <c r="C36" s="22"/>
      <c r="D36" s="18"/>
      <c r="E36" s="19" t="str">
        <f t="shared" si="0"/>
        <v/>
      </c>
      <c r="F36" s="20">
        <f>SUMIF('1. Staff costs'!C:C,B36,'1. Staff costs'!S:S)</f>
        <v>0</v>
      </c>
      <c r="G36" s="20">
        <f>SUMIF(' 2-3-6. Travel&amp;Costs of Stay'!C:C,B36,' 2-3-6. Travel&amp;Costs of Stay'!O:O)</f>
        <v>0</v>
      </c>
      <c r="H36" s="20">
        <f>SUMIF(' 2-3-6. Travel&amp;Costs of Stay'!C:C,B36,' 2-3-6. Travel&amp;Costs of Stay'!P:P)</f>
        <v>0</v>
      </c>
      <c r="I36" s="20">
        <f>SUMIF('4. Equipment Costs'!C:C,B36,'4. Equipment Costs'!H:H)</f>
        <v>0</v>
      </c>
      <c r="J36" s="20">
        <f>SUMIF('5. Subcontracting Costs'!C:C,B36,'5. Subcontracting Costs'!H:H)</f>
        <v>0</v>
      </c>
      <c r="K36" s="20">
        <f>SUMIF(' 2-3-6. Travel&amp;Costs of Stay'!C:C,B36,' 2-3-6. Travel&amp;Costs of Stay'!N:N)</f>
        <v>0</v>
      </c>
      <c r="L36" s="21">
        <f t="shared" si="1"/>
        <v>0</v>
      </c>
    </row>
    <row r="37" spans="2:12" x14ac:dyDescent="0.35">
      <c r="B37" s="48" t="s">
        <v>18</v>
      </c>
      <c r="C37" s="22"/>
      <c r="D37" s="18"/>
      <c r="E37" s="19" t="str">
        <f t="shared" si="0"/>
        <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35">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35">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3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3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3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3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80" priority="18">
      <formula>D17&gt;ROUND(D23*0.4,2)</formula>
    </cfRule>
  </conditionalFormatting>
  <conditionalFormatting sqref="D20">
    <cfRule type="expression" dxfId="79" priority="16">
      <formula>D20&gt;ROUND(D23*0.3,2)</formula>
    </cfRule>
  </conditionalFormatting>
  <conditionalFormatting sqref="D21">
    <cfRule type="expression" dxfId="78" priority="14">
      <formula>D21&gt;ROUND(D23*0.1,2)</formula>
    </cfRule>
  </conditionalFormatting>
  <conditionalFormatting sqref="D23">
    <cfRule type="cellIs" dxfId="77" priority="12" operator="notBetween">
      <formula>500000</formula>
      <formula>1000000</formula>
    </cfRule>
  </conditionalFormatting>
  <conditionalFormatting sqref="E18 I18">
    <cfRule type="cellIs" dxfId="76" priority="2" operator="equal">
      <formula>"Exceptional travel costs exceed 80% of total travel costs"</formula>
    </cfRule>
  </conditionalFormatting>
  <conditionalFormatting sqref="I19">
    <cfRule type="cellIs" dxfId="75"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zoomScaleNormal="100"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75" x14ac:dyDescent="0.25">
      <c r="A1" s="87" t="s">
        <v>339</v>
      </c>
      <c r="B1" s="88"/>
    </row>
    <row r="2" spans="1:2" ht="15" x14ac:dyDescent="0.25">
      <c r="A2" s="89" t="s">
        <v>166</v>
      </c>
      <c r="B2" s="93" t="str">
        <f>IF(COUNTIF('1. Staff costs'!T:T,"Error")&lt;=1,"OK","Please check data in Tab '"&amp;A2&amp;"'")</f>
        <v>Please check data in Tab '1. Staff Costs'</v>
      </c>
    </row>
    <row r="3" spans="1:2" ht="15" x14ac:dyDescent="0.25">
      <c r="A3" s="90" t="s">
        <v>338</v>
      </c>
      <c r="B3" s="94" t="str">
        <f>IF(COUNTIF(' 2-3-6. Travel&amp;Costs of Stay'!R:R,"Error")&lt;=1,"OK","Please check data in Tab '"&amp;A3&amp;"'")</f>
        <v>Please check data in Tab '2-3. Travel Costs&amp;Costs of Stay'</v>
      </c>
    </row>
    <row r="4" spans="1:2" ht="15" x14ac:dyDescent="0.25">
      <c r="A4" s="90" t="s">
        <v>185</v>
      </c>
      <c r="B4" s="94" t="str">
        <f>IF(COUNTIF('4. Equipment Costs'!I:T,"Error")&lt;=1,"OK","Please check data in Tab '"&amp;A4&amp;"'")</f>
        <v>Please check data in Tab '4. Equipment Costs'</v>
      </c>
    </row>
    <row r="5" spans="1:2" ht="15" x14ac:dyDescent="0.25">
      <c r="A5" s="90" t="s">
        <v>186</v>
      </c>
      <c r="B5" s="94" t="str">
        <f>IF(COUNTIF('5. Subcontracting Costs'!I:I,"Error")&lt;=1,"OK","Please check data in Tab '"&amp;A5&amp;"'")</f>
        <v>Please check data in Tab '5. Subcontracting Costs'</v>
      </c>
    </row>
    <row r="6" spans="1:2" ht="15" x14ac:dyDescent="0.25">
      <c r="A6" s="90" t="s">
        <v>337</v>
      </c>
      <c r="B6" s="94" t="str">
        <f>IF(COUNTIF('Co-financing'!J:J,"Error")&lt;=1,"OK","Please check data in Tab '"&amp;A6&amp;"'")</f>
        <v>Please check data in Tab 'Co-financing'</v>
      </c>
    </row>
    <row r="7" spans="1:2" ht="15" x14ac:dyDescent="0.25">
      <c r="A7" s="91" t="s">
        <v>336</v>
      </c>
      <c r="B7" s="95" t="str">
        <f>IF(' 2-3-6. Travel&amp;Costs of Stay'!K4="","OK","Please check Exceptional Travel Costs (EUR) in Tab '"&amp;A3&amp;"'")</f>
        <v>OK</v>
      </c>
    </row>
  </sheetData>
  <conditionalFormatting sqref="B2:B7">
    <cfRule type="cellIs" dxfId="73" priority="5" operator="notEqual">
      <formula>"OK"</formula>
    </cfRule>
    <cfRule type="cellIs" dxfId="72"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25"/>
    <row r="2" spans="2:20" s="24" customFormat="1" ht="39.9" customHeight="1" x14ac:dyDescent="0.25">
      <c r="B2" s="144" t="s">
        <v>166</v>
      </c>
      <c r="C2" s="144"/>
      <c r="D2" s="144"/>
      <c r="E2" s="144"/>
      <c r="F2" s="144"/>
      <c r="G2" s="144"/>
      <c r="H2" s="144"/>
      <c r="I2" s="144"/>
      <c r="J2" s="144"/>
      <c r="K2" s="144"/>
      <c r="L2" s="144"/>
      <c r="M2" s="144"/>
      <c r="N2" s="144"/>
      <c r="O2" s="144"/>
      <c r="P2" s="144"/>
      <c r="Q2" s="144"/>
      <c r="R2" s="144"/>
      <c r="S2" s="144"/>
      <c r="T2" s="144"/>
    </row>
    <row r="3" spans="2:20" s="24" customFormat="1" ht="8.1" customHeight="1" x14ac:dyDescent="0.25">
      <c r="B3" s="141"/>
      <c r="C3" s="142"/>
      <c r="D3" s="142"/>
      <c r="E3" s="142"/>
      <c r="F3" s="142"/>
      <c r="G3" s="142"/>
      <c r="H3" s="142"/>
      <c r="I3" s="142"/>
      <c r="J3" s="142"/>
      <c r="K3" s="142"/>
      <c r="L3" s="142"/>
      <c r="M3" s="142"/>
      <c r="N3" s="142"/>
      <c r="O3" s="142"/>
      <c r="P3" s="142"/>
      <c r="Q3" s="142"/>
      <c r="R3" s="142"/>
      <c r="S3" s="142"/>
      <c r="T3" s="143"/>
    </row>
    <row r="4" spans="2:20" s="24" customFormat="1" ht="20.100000000000001" customHeight="1" x14ac:dyDescent="0.35">
      <c r="B4" s="138"/>
      <c r="C4" s="140"/>
      <c r="D4" s="44" t="s">
        <v>184</v>
      </c>
      <c r="E4" s="44" t="s">
        <v>182</v>
      </c>
      <c r="F4" s="135"/>
      <c r="G4" s="136"/>
      <c r="H4" s="136"/>
      <c r="I4" s="136"/>
      <c r="J4" s="136"/>
      <c r="K4" s="136"/>
      <c r="L4" s="136"/>
      <c r="M4" s="136"/>
      <c r="N4" s="136"/>
      <c r="O4" s="136"/>
      <c r="P4" s="136"/>
      <c r="Q4" s="136"/>
      <c r="R4" s="136"/>
      <c r="S4" s="136"/>
      <c r="T4" s="137"/>
    </row>
    <row r="5" spans="2:20" s="24" customFormat="1" ht="20.100000000000001" customHeight="1" x14ac:dyDescent="0.35">
      <c r="B5" s="149" t="s">
        <v>131</v>
      </c>
      <c r="C5" s="150"/>
      <c r="D5" s="45">
        <f>SUM(H:H)</f>
        <v>0</v>
      </c>
      <c r="E5" s="28">
        <f>SUMIF(T:T,"&lt;&gt;Error",F:F)</f>
        <v>0</v>
      </c>
      <c r="F5" s="135"/>
      <c r="G5" s="136"/>
      <c r="H5" s="136"/>
      <c r="I5" s="136"/>
      <c r="J5" s="136"/>
      <c r="K5" s="136"/>
      <c r="L5" s="136"/>
      <c r="M5" s="136"/>
      <c r="N5" s="136"/>
      <c r="O5" s="136"/>
      <c r="P5" s="136"/>
      <c r="Q5" s="136"/>
      <c r="R5" s="136"/>
      <c r="S5" s="136"/>
      <c r="T5" s="137"/>
    </row>
    <row r="6" spans="2:20" s="24" customFormat="1" ht="20.100000000000001" customHeight="1" x14ac:dyDescent="0.35">
      <c r="B6" s="151" t="s">
        <v>129</v>
      </c>
      <c r="C6" s="152"/>
      <c r="D6" s="45">
        <f>SUM(K:K)</f>
        <v>0</v>
      </c>
      <c r="E6" s="28">
        <f>SUMIF(T:T,"&lt;&gt;Error",I:I)</f>
        <v>0</v>
      </c>
      <c r="F6" s="135"/>
      <c r="G6" s="136"/>
      <c r="H6" s="136"/>
      <c r="I6" s="136"/>
      <c r="J6" s="136"/>
      <c r="K6" s="136"/>
      <c r="L6" s="136"/>
      <c r="M6" s="136"/>
      <c r="N6" s="136"/>
      <c r="O6" s="136"/>
      <c r="P6" s="136"/>
      <c r="Q6" s="136"/>
      <c r="R6" s="136"/>
      <c r="S6" s="136"/>
      <c r="T6" s="137"/>
    </row>
    <row r="7" spans="2:20" s="24" customFormat="1" ht="20.100000000000001" customHeight="1" x14ac:dyDescent="0.35">
      <c r="B7" s="149" t="s">
        <v>314</v>
      </c>
      <c r="C7" s="150"/>
      <c r="D7" s="45">
        <f>SUM(N:N)</f>
        <v>0</v>
      </c>
      <c r="E7" s="28">
        <f>SUMIF(T:T,"&lt;&gt;Error",L:L)</f>
        <v>0</v>
      </c>
      <c r="F7" s="135"/>
      <c r="G7" s="136"/>
      <c r="H7" s="136"/>
      <c r="I7" s="136"/>
      <c r="J7" s="136"/>
      <c r="K7" s="136"/>
      <c r="L7" s="136"/>
      <c r="M7" s="136"/>
      <c r="N7" s="136"/>
      <c r="O7" s="136"/>
      <c r="P7" s="136"/>
      <c r="Q7" s="136"/>
      <c r="R7" s="136"/>
      <c r="S7" s="136"/>
      <c r="T7" s="137"/>
    </row>
    <row r="8" spans="2:20" s="24" customFormat="1" ht="20.100000000000001" customHeight="1" x14ac:dyDescent="0.35">
      <c r="B8" s="149" t="s">
        <v>313</v>
      </c>
      <c r="C8" s="150"/>
      <c r="D8" s="45">
        <f>SUM(Q:Q)</f>
        <v>0</v>
      </c>
      <c r="E8" s="28">
        <f>SUMIF(T:T,"&lt;&gt;Error",O:O)</f>
        <v>0</v>
      </c>
      <c r="F8" s="135"/>
      <c r="G8" s="136"/>
      <c r="H8" s="136"/>
      <c r="I8" s="136"/>
      <c r="J8" s="136"/>
      <c r="K8" s="136"/>
      <c r="L8" s="136"/>
      <c r="M8" s="136"/>
      <c r="N8" s="136"/>
      <c r="O8" s="136"/>
      <c r="P8" s="136"/>
      <c r="Q8" s="136"/>
      <c r="R8" s="136"/>
      <c r="S8" s="136"/>
      <c r="T8" s="137"/>
    </row>
    <row r="9" spans="2:20" s="24" customFormat="1" ht="20.100000000000001" customHeight="1" x14ac:dyDescent="0.35">
      <c r="B9" s="153"/>
      <c r="C9" s="154"/>
      <c r="D9" s="30">
        <f>SUM(D5:D8)</f>
        <v>0</v>
      </c>
      <c r="E9" s="29">
        <f>SUM(E5:E8)</f>
        <v>0</v>
      </c>
      <c r="F9" s="135"/>
      <c r="G9" s="136"/>
      <c r="H9" s="136"/>
      <c r="I9" s="136"/>
      <c r="J9" s="136"/>
      <c r="K9" s="136"/>
      <c r="L9" s="136"/>
      <c r="M9" s="136"/>
      <c r="N9" s="136"/>
      <c r="O9" s="136"/>
      <c r="P9" s="136"/>
      <c r="Q9" s="136"/>
      <c r="R9" s="136"/>
      <c r="S9" s="136"/>
      <c r="T9" s="137"/>
    </row>
    <row r="10" spans="2:20" s="24" customFormat="1" ht="8.1" customHeight="1" x14ac:dyDescent="0.25">
      <c r="B10" s="138"/>
      <c r="C10" s="139"/>
      <c r="D10" s="139"/>
      <c r="E10" s="139"/>
      <c r="F10" s="139"/>
      <c r="G10" s="139"/>
      <c r="H10" s="139"/>
      <c r="I10" s="139"/>
      <c r="J10" s="139"/>
      <c r="K10" s="139"/>
      <c r="L10" s="139"/>
      <c r="M10" s="139"/>
      <c r="N10" s="139"/>
      <c r="O10" s="139"/>
      <c r="P10" s="139"/>
      <c r="Q10" s="139"/>
      <c r="R10" s="139"/>
      <c r="S10" s="139"/>
      <c r="T10" s="140"/>
    </row>
    <row r="11" spans="2:20" s="49" customFormat="1" ht="23.1" customHeight="1" x14ac:dyDescent="0.35">
      <c r="B11" s="133" t="s">
        <v>162</v>
      </c>
      <c r="C11" s="133" t="s">
        <v>147</v>
      </c>
      <c r="D11" s="133" t="s">
        <v>216</v>
      </c>
      <c r="E11" s="133" t="s">
        <v>217</v>
      </c>
      <c r="F11" s="145" t="str">
        <f>'Unit Costs &amp; Funding Rule'!D7</f>
        <v>Manager</v>
      </c>
      <c r="G11" s="145"/>
      <c r="H11" s="145"/>
      <c r="I11" s="146" t="str">
        <f>'Unit Costs &amp; Funding Rule'!E7</f>
        <v>Teacher/Trainer/Researcher</v>
      </c>
      <c r="J11" s="147"/>
      <c r="K11" s="148"/>
      <c r="L11" s="145" t="str">
        <f>'Unit Costs &amp; Funding Rule'!F7</f>
        <v>Technical Staff</v>
      </c>
      <c r="M11" s="145"/>
      <c r="N11" s="145"/>
      <c r="O11" s="145" t="str">
        <f>'Unit Costs &amp; Funding Rule'!G7</f>
        <v>Administrative Staff</v>
      </c>
      <c r="P11" s="145"/>
      <c r="Q11" s="145"/>
      <c r="R11" s="133" t="s">
        <v>198</v>
      </c>
      <c r="S11" s="133" t="s">
        <v>163</v>
      </c>
      <c r="T11" s="133" t="s">
        <v>218</v>
      </c>
    </row>
    <row r="12" spans="2:20" s="49" customFormat="1" ht="42" customHeight="1" x14ac:dyDescent="0.35">
      <c r="B12" s="134"/>
      <c r="C12" s="134"/>
      <c r="D12" s="134"/>
      <c r="E12" s="134"/>
      <c r="F12" s="50" t="s">
        <v>207</v>
      </c>
      <c r="G12" s="31" t="s">
        <v>211</v>
      </c>
      <c r="H12" s="50" t="s">
        <v>164</v>
      </c>
      <c r="I12" s="50" t="s">
        <v>207</v>
      </c>
      <c r="J12" s="31" t="s">
        <v>211</v>
      </c>
      <c r="K12" s="50" t="s">
        <v>164</v>
      </c>
      <c r="L12" s="50" t="s">
        <v>207</v>
      </c>
      <c r="M12" s="31" t="s">
        <v>211</v>
      </c>
      <c r="N12" s="50" t="s">
        <v>164</v>
      </c>
      <c r="O12" s="50" t="s">
        <v>207</v>
      </c>
      <c r="P12" s="31" t="s">
        <v>211</v>
      </c>
      <c r="Q12" s="50" t="s">
        <v>164</v>
      </c>
      <c r="R12" s="134"/>
      <c r="S12" s="134"/>
      <c r="T12" s="134"/>
    </row>
    <row r="13" spans="2:20" s="38" customFormat="1" hidden="1" x14ac:dyDescent="0.2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25">
      <c r="B14" s="18"/>
      <c r="C14" s="23"/>
      <c r="D14" s="46" t="str">
        <f t="shared" si="0"/>
        <v/>
      </c>
      <c r="E14" s="46" t="str">
        <f t="shared" si="1"/>
        <v/>
      </c>
      <c r="F14" s="32">
        <v>0</v>
      </c>
      <c r="G14" s="33">
        <f t="shared" si="2"/>
        <v>0</v>
      </c>
      <c r="H14" s="34">
        <f t="shared" si="3"/>
        <v>0</v>
      </c>
      <c r="I14" s="32">
        <v>0</v>
      </c>
      <c r="J14" s="33">
        <f t="shared" si="4"/>
        <v>0</v>
      </c>
      <c r="K14" s="34">
        <f t="shared" si="5"/>
        <v>0</v>
      </c>
      <c r="L14" s="32">
        <v>0</v>
      </c>
      <c r="M14" s="33">
        <f t="shared" si="6"/>
        <v>0</v>
      </c>
      <c r="N14" s="34">
        <f t="shared" si="7"/>
        <v>0</v>
      </c>
      <c r="O14" s="32">
        <v>0</v>
      </c>
      <c r="P14" s="33">
        <f t="shared" si="8"/>
        <v>0</v>
      </c>
      <c r="Q14" s="34">
        <f t="shared" si="9"/>
        <v>0</v>
      </c>
      <c r="R14" s="35">
        <f t="shared" si="10"/>
        <v>0</v>
      </c>
      <c r="S14" s="36">
        <f t="shared" si="11"/>
        <v>0</v>
      </c>
      <c r="T14" s="37" t="str">
        <f t="shared" si="12"/>
        <v>Error</v>
      </c>
    </row>
  </sheetData>
  <sheetProtection algorithmName="SHA-512" hashValue="3VzBI+TJWV5vP98XtVJnsZAxf2uVqUKISu7HQs+16xbxprg7PIEnnnGSQ51PgtJRyBcL4b/dI1ydgfhCLCMivw==" saltValue="AX13aCUV8CPPBuFvlmN1XQ==" spinCount="100000" sheet="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71" priority="927" operator="containsText" text="Error">
      <formula>NOT(ISERROR(SEARCH("Error",T13)))</formula>
    </cfRule>
  </conditionalFormatting>
  <conditionalFormatting sqref="D13:E14">
    <cfRule type="containsBlanks" dxfId="70" priority="923">
      <formula>LEN(TRIM(D13))=0</formula>
    </cfRule>
  </conditionalFormatting>
  <conditionalFormatting sqref="F14 I14 L14 O14">
    <cfRule type="expression" dxfId="69" priority="294">
      <formula>ISNUMBER(F14)=FALSE</formula>
    </cfRule>
  </conditionalFormatting>
  <conditionalFormatting sqref="F13 I13 L13 O13">
    <cfRule type="expression" dxfId="68" priority="293">
      <formula>ISNUMBER(F13)=FALSE</formula>
    </cfRule>
  </conditionalFormatting>
  <conditionalFormatting sqref="B13:C13">
    <cfRule type="containsBlanks" dxfId="67" priority="286">
      <formula>LEN(TRIM(B13))=0</formula>
    </cfRule>
  </conditionalFormatting>
  <conditionalFormatting sqref="B14:C14">
    <cfRule type="containsBlanks" dxfId="66" priority="285">
      <formula>LEN(TRIM(B14))=0</formula>
    </cfRule>
  </conditionalFormatting>
  <dataValidations count="4">
    <dataValidation allowBlank="1" showInputMessage="1" errorTitle="Warning: Max Ceilings exceeded" error="Please be aware that this exceed the &quot;Ceilings&quot; for the maximum amounts for staff cost by country" sqref="M13:M14 J13:J14 P13:P14 G13:G14"/>
    <dataValidation type="custom" allowBlank="1" showInputMessage="1" showErrorMessage="1" error="Format error (1 decimal only)" prompt="Please encode number of days - 1 decimal only" sqref="F13:F14 I13:I14 O13:O14 L13:L14">
      <formula1>F13=INT(F13*10)/10</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19"/>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25"/>
    <row r="2" spans="2:18" s="24" customFormat="1" ht="39.9" customHeight="1" x14ac:dyDescent="0.25">
      <c r="B2" s="162" t="s">
        <v>183</v>
      </c>
      <c r="C2" s="162"/>
      <c r="D2" s="162"/>
      <c r="E2" s="162"/>
      <c r="F2" s="162"/>
      <c r="G2" s="162"/>
      <c r="H2" s="162"/>
      <c r="I2" s="162"/>
      <c r="J2" s="162"/>
      <c r="K2" s="162"/>
      <c r="L2" s="162"/>
      <c r="M2" s="162"/>
      <c r="N2" s="162"/>
      <c r="O2" s="162"/>
      <c r="P2" s="162"/>
      <c r="Q2" s="162"/>
      <c r="R2" s="162"/>
    </row>
    <row r="3" spans="2:18" s="24" customFormat="1" ht="8.1" customHeight="1" x14ac:dyDescent="0.25">
      <c r="B3" s="141"/>
      <c r="C3" s="142"/>
      <c r="D3" s="142"/>
      <c r="E3" s="142"/>
      <c r="F3" s="142"/>
      <c r="G3" s="142"/>
      <c r="H3" s="142"/>
      <c r="I3" s="142"/>
      <c r="J3" s="142"/>
      <c r="K3" s="142"/>
      <c r="L3" s="142"/>
      <c r="M3" s="142"/>
      <c r="N3" s="142"/>
      <c r="O3" s="142"/>
      <c r="P3" s="142"/>
      <c r="Q3" s="142"/>
      <c r="R3" s="143"/>
    </row>
    <row r="4" spans="2:18" s="24" customFormat="1" ht="20.100000000000001" customHeight="1" x14ac:dyDescent="0.35">
      <c r="B4" s="157" t="s">
        <v>302</v>
      </c>
      <c r="C4" s="158"/>
      <c r="D4" s="55">
        <f>SUMIF(G:G,"Student",O:O)</f>
        <v>0</v>
      </c>
      <c r="E4" s="182">
        <f>D4+D5</f>
        <v>0</v>
      </c>
      <c r="F4" s="167">
        <f>SUMIFS(H:H,G:G,"Student",R:R,"&lt;&gt;Error")</f>
        <v>0</v>
      </c>
      <c r="G4" s="53"/>
      <c r="L4" s="159" t="s">
        <v>345</v>
      </c>
      <c r="M4" s="160"/>
      <c r="N4" s="161"/>
      <c r="O4" s="103"/>
      <c r="P4" s="103"/>
      <c r="Q4" s="103"/>
      <c r="R4" s="84"/>
    </row>
    <row r="5" spans="2:18" s="24" customFormat="1" ht="20.100000000000001" customHeight="1" x14ac:dyDescent="0.35">
      <c r="B5" s="155" t="s">
        <v>303</v>
      </c>
      <c r="C5" s="156"/>
      <c r="D5" s="56">
        <f>SUMIF(G:G,"Student",P:P)</f>
        <v>0</v>
      </c>
      <c r="E5" s="183"/>
      <c r="F5" s="168"/>
      <c r="G5" s="53"/>
      <c r="H5" s="54"/>
      <c r="I5" s="54"/>
      <c r="J5" s="54"/>
      <c r="L5" s="169" t="s">
        <v>354</v>
      </c>
      <c r="M5" s="170"/>
      <c r="N5" s="171"/>
      <c r="O5" s="54"/>
      <c r="P5" s="54"/>
      <c r="Q5" s="54"/>
      <c r="R5" s="84"/>
    </row>
    <row r="6" spans="2:18" s="24" customFormat="1" ht="20.100000000000001" customHeight="1" x14ac:dyDescent="0.35">
      <c r="B6" s="157" t="s">
        <v>304</v>
      </c>
      <c r="C6" s="158"/>
      <c r="D6" s="55">
        <f>SUMIF(G:G,"Staff",O:O)</f>
        <v>0</v>
      </c>
      <c r="E6" s="180">
        <f>D6+D7</f>
        <v>0</v>
      </c>
      <c r="F6" s="165">
        <f>SUMIFS(H:H,G:G,"Staff",R:R,"&lt;&gt;Error")</f>
        <v>0</v>
      </c>
      <c r="G6" s="53"/>
      <c r="L6" s="172"/>
      <c r="M6" s="173"/>
      <c r="N6" s="174"/>
      <c r="R6" s="84"/>
    </row>
    <row r="7" spans="2:18" s="24" customFormat="1" ht="20.100000000000001" customHeight="1" x14ac:dyDescent="0.35">
      <c r="B7" s="155" t="s">
        <v>305</v>
      </c>
      <c r="C7" s="156"/>
      <c r="D7" s="56">
        <f>SUMIF(G:G,"Staff",P:P)</f>
        <v>0</v>
      </c>
      <c r="E7" s="181"/>
      <c r="F7" s="166"/>
      <c r="G7" s="53"/>
      <c r="L7" s="172"/>
      <c r="M7" s="173"/>
      <c r="N7" s="174"/>
      <c r="R7" s="84"/>
    </row>
    <row r="8" spans="2:18" s="24" customFormat="1" ht="20.100000000000001" customHeight="1" x14ac:dyDescent="0.35">
      <c r="B8" s="157" t="s">
        <v>306</v>
      </c>
      <c r="C8" s="158"/>
      <c r="D8" s="55">
        <f>SUM(O:O)</f>
        <v>0</v>
      </c>
      <c r="E8" s="178">
        <f>D8+D9</f>
        <v>0</v>
      </c>
      <c r="F8" s="163">
        <f>F4+F6</f>
        <v>0</v>
      </c>
      <c r="G8" s="53"/>
      <c r="L8" s="172"/>
      <c r="M8" s="173"/>
      <c r="N8" s="174"/>
      <c r="R8" s="84"/>
    </row>
    <row r="9" spans="2:18" s="24" customFormat="1" ht="20.100000000000001" customHeight="1" x14ac:dyDescent="0.35">
      <c r="B9" s="155" t="s">
        <v>307</v>
      </c>
      <c r="C9" s="156"/>
      <c r="D9" s="56">
        <f>SUM(P:P)</f>
        <v>0</v>
      </c>
      <c r="E9" s="179"/>
      <c r="F9" s="164"/>
      <c r="G9" s="53"/>
      <c r="L9" s="172"/>
      <c r="M9" s="173"/>
      <c r="N9" s="174"/>
      <c r="R9" s="84"/>
    </row>
    <row r="10" spans="2:18" s="24" customFormat="1" x14ac:dyDescent="0.35">
      <c r="B10" s="155" t="s">
        <v>344</v>
      </c>
      <c r="C10" s="156"/>
      <c r="D10" s="56">
        <f>SUM(N:N)</f>
        <v>0</v>
      </c>
      <c r="L10" s="172"/>
      <c r="M10" s="173"/>
      <c r="N10" s="174"/>
      <c r="R10" s="107"/>
    </row>
    <row r="11" spans="2:18" s="49" customFormat="1" ht="62.25" customHeight="1" x14ac:dyDescent="0.35">
      <c r="B11" s="98"/>
      <c r="C11" s="97"/>
      <c r="D11" s="97"/>
      <c r="E11" s="97"/>
      <c r="F11" s="97"/>
      <c r="G11" s="97"/>
      <c r="H11" s="97"/>
      <c r="I11" s="97"/>
      <c r="J11" s="97"/>
      <c r="K11" s="97"/>
      <c r="L11" s="175"/>
      <c r="M11" s="176"/>
      <c r="N11" s="177"/>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2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IF(AND(M13&gt;0,L13&lt;&gt;""),IF(M13&gt;(ROUND( (ROUND(ROUND(H13,0)*(VLOOKUP(J13,TravelCosts,2,FALSE)),2))/0.65,2)),ROUND(M13*0.8,2),"covered by unit cost"),0)</f>
        <v>0</v>
      </c>
      <c r="O13" s="41">
        <f>IF(OR(AND(L13&lt;&gt;"",M13&gt;0,ISNUMBER(N13)),R13="Error"),0,ROUND(ROUND(H13,0)*(VLOOKUP(J13,TravelCosts,2,FALSE)),2))</f>
        <v>0</v>
      </c>
      <c r="P13" s="41">
        <f>IF(R13="Error",0,IF(AND(G13="Staff",K13&gt;0,K13&lt;15),(120*K13)*H13,IF(AND(G13="Staff",K13&gt;14,K13&lt;61),(1680+((K13-14)*70))*H13,IF(AND(G13="Staff",K13&gt;60,K13&lt;91),(4900+((K13-60)*50))*H13,IF(AND(G13="Student",K13&gt;0,K13&lt;15),(55*K13)*H13,IF(AND(G13="Student",K13&gt;14,K13&lt;91),(770+((K13-14)*40))*H13,0))))))</f>
        <v>0</v>
      </c>
      <c r="Q13" s="42">
        <f>IFERROR(N13+O13+P13,O13+P13)</f>
        <v>0</v>
      </c>
      <c r="R13" s="104"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25">
      <c r="B14" s="18"/>
      <c r="C14" s="23"/>
      <c r="D14" s="46" t="str">
        <f t="shared" si="0"/>
        <v/>
      </c>
      <c r="E14" s="46" t="str">
        <f t="shared" si="1"/>
        <v/>
      </c>
      <c r="F14" s="22"/>
      <c r="G14" s="85"/>
      <c r="H14" s="86"/>
      <c r="I14" s="22"/>
      <c r="J14" s="18"/>
      <c r="K14" s="86"/>
      <c r="L14" s="105"/>
      <c r="M14" s="106"/>
      <c r="N14" s="41">
        <f>IF(AND(M14&gt;0,L14&lt;&gt;""),IF(M14&gt;(ROUND( (ROUND(ROUND(H14,0)*(VLOOKUP(J14,TravelCosts,2,FALSE)),2))/0.65,2)),ROUND(M14*0.8,2),"covered by unit cost"),0)</f>
        <v>0</v>
      </c>
      <c r="O14" s="41">
        <f>IF(OR(AND(L14&lt;&gt;"",M14&gt;0,ISNUMBER(N14)),R14="Error"),0,ROUND(ROUND(H14,0)*(VLOOKUP(J14,TravelCosts,2,FALSE)),2))</f>
        <v>0</v>
      </c>
      <c r="P14" s="41">
        <f>IF(R14="Error",0,IF(AND(G14="Staff",K14&gt;0,K14&lt;15),(120*K14)*H14,IF(AND(G14="Staff",K14&gt;14,K14&lt;61),(1680+((K14-14)*70))*H14,IF(AND(G14="Staff",K14&gt;60,K14&lt;91),(4900+((K14-60)*50))*H14,IF(AND(G14="Student",K14&gt;0,K14&lt;15),(55*K14)*H14,IF(AND(G14="Student",K14&gt;14,K14&lt;91),(770+((K14-14)*40))*H14,0))))))</f>
        <v>0</v>
      </c>
      <c r="Q14" s="42">
        <f>IFERROR(N14+O14+P14,O14+P14)</f>
        <v>0</v>
      </c>
      <c r="R14" s="104"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Error</v>
      </c>
    </row>
    <row r="16" spans="2:18" x14ac:dyDescent="0.25">
      <c r="M16" s="109"/>
    </row>
    <row r="18" spans="12:15" x14ac:dyDescent="0.25">
      <c r="L18" s="108"/>
      <c r="M18" s="108"/>
    </row>
    <row r="19" spans="12:15" x14ac:dyDescent="0.25">
      <c r="M19" s="108"/>
      <c r="N19" s="108"/>
      <c r="O19" s="108"/>
    </row>
  </sheetData>
  <sheetProtection algorithmName="SHA-512" hashValue="JHEotUiHcJcKhHcjMe7Po37k5Al/SAHRaJ36sWzitRgbAYK/9fR2DXrqmKvBfDWGF4j/dhpk9fTFNyrdILirMA==" saltValue="TcBN46owiFV2R5X7UP7MUg==" spinCount="100000" sheet="1" selectLockedCells="1"/>
  <dataConsolidate/>
  <mergeCells count="17">
    <mergeCell ref="B6:C6"/>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s>
  <conditionalFormatting sqref="R14">
    <cfRule type="containsText" dxfId="65" priority="1461" operator="containsText" text="Error">
      <formula>NOT(ISERROR(SEARCH("Error",R14)))</formula>
    </cfRule>
  </conditionalFormatting>
  <conditionalFormatting sqref="D13:E14">
    <cfRule type="containsBlanks" dxfId="64" priority="1459">
      <formula>LEN(TRIM(D13))=0</formula>
    </cfRule>
  </conditionalFormatting>
  <conditionalFormatting sqref="O4:Q4">
    <cfRule type="cellIs" dxfId="63" priority="1207" operator="equal">
      <formula>"EXCEEDING 80% OF TOTAL TRAVEL COSTS"</formula>
    </cfRule>
  </conditionalFormatting>
  <conditionalFormatting sqref="H13 K13">
    <cfRule type="expression" dxfId="62" priority="1199">
      <formula>ISNUMBER(H13)=FALSE</formula>
    </cfRule>
  </conditionalFormatting>
  <conditionalFormatting sqref="F13:K13">
    <cfRule type="containsBlanks" dxfId="61" priority="124">
      <formula>LEN(TRIM(F13))=0</formula>
    </cfRule>
  </conditionalFormatting>
  <conditionalFormatting sqref="B13:C13">
    <cfRule type="containsBlanks" dxfId="60" priority="1191">
      <formula>LEN(TRIM(B13))=0</formula>
    </cfRule>
  </conditionalFormatting>
  <conditionalFormatting sqref="B14:C14">
    <cfRule type="containsBlanks" dxfId="59" priority="1190">
      <formula>LEN(TRIM(B14))=0</formula>
    </cfRule>
  </conditionalFormatting>
  <conditionalFormatting sqref="K13">
    <cfRule type="cellIs" dxfId="58" priority="119" operator="lessThan">
      <formula>0</formula>
    </cfRule>
    <cfRule type="cellIs" dxfId="57" priority="1204" operator="equal">
      <formula>0</formula>
    </cfRule>
  </conditionalFormatting>
  <conditionalFormatting sqref="H13">
    <cfRule type="cellIs" dxfId="56" priority="1195" operator="lessThanOrEqual">
      <formula>0</formula>
    </cfRule>
  </conditionalFormatting>
  <conditionalFormatting sqref="H14 K14">
    <cfRule type="expression" dxfId="55" priority="117">
      <formula>ISNUMBER(H14)=FALSE</formula>
    </cfRule>
  </conditionalFormatting>
  <conditionalFormatting sqref="F14:K14">
    <cfRule type="containsBlanks" dxfId="54" priority="115">
      <formula>LEN(TRIM(F14))=0</formula>
    </cfRule>
  </conditionalFormatting>
  <conditionalFormatting sqref="K14">
    <cfRule type="cellIs" dxfId="53" priority="114" operator="lessThan">
      <formula>0</formula>
    </cfRule>
    <cfRule type="cellIs" dxfId="52" priority="118" operator="equal">
      <formula>0</formula>
    </cfRule>
  </conditionalFormatting>
  <conditionalFormatting sqref="H14">
    <cfRule type="cellIs" dxfId="51" priority="116" operator="lessThanOrEqual">
      <formula>0</formula>
    </cfRule>
  </conditionalFormatting>
  <conditionalFormatting sqref="M14">
    <cfRule type="expression" dxfId="50" priority="97">
      <formula>AND(M14=0,L14&lt;&gt;"")</formula>
    </cfRule>
  </conditionalFormatting>
  <conditionalFormatting sqref="L14">
    <cfRule type="expression" dxfId="49" priority="99">
      <formula>AND(L14="",M14&gt;0)</formula>
    </cfRule>
  </conditionalFormatting>
  <conditionalFormatting sqref="L14:M14">
    <cfRule type="cellIs" dxfId="48" priority="100" operator="equal">
      <formula>0</formula>
    </cfRule>
  </conditionalFormatting>
  <conditionalFormatting sqref="M13">
    <cfRule type="expression" dxfId="47" priority="89">
      <formula>AND(M13=0,L13&lt;&gt;"")</formula>
    </cfRule>
  </conditionalFormatting>
  <conditionalFormatting sqref="L13">
    <cfRule type="expression" dxfId="46" priority="90">
      <formula>AND(L13="",M13&gt;0)</formula>
    </cfRule>
  </conditionalFormatting>
  <conditionalFormatting sqref="L13:M13">
    <cfRule type="cellIs" dxfId="45" priority="91" operator="equal">
      <formula>0</formula>
    </cfRule>
  </conditionalFormatting>
  <conditionalFormatting sqref="N14">
    <cfRule type="expression" dxfId="44" priority="77">
      <formula>ISNUMBER(N14)=FALSE</formula>
    </cfRule>
  </conditionalFormatting>
  <conditionalFormatting sqref="R13">
    <cfRule type="containsText" dxfId="43" priority="64" operator="containsText" text="Error">
      <formula>NOT(ISERROR(SEARCH("Error",R13)))</formula>
    </cfRule>
  </conditionalFormatting>
  <conditionalFormatting sqref="N13">
    <cfRule type="expression" dxfId="42" priority="63">
      <formula>ISNUMBER(N13)=FALSE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4"/>
    <dataValidation allowBlank="1" showInputMessage="1" showErrorMessage="1" error="Please encode City of Destination" prompt="Please encode City of Destination" sqref="I13:I14"/>
    <dataValidation type="whole" allowBlank="1" showInputMessage="1" showErrorMessage="1" error="Format error (whole number only)" prompt="Please encode number (whole number only)" sqref="H13:H14">
      <formula1>0</formula1>
      <formula2>50000</formula2>
    </dataValidation>
    <dataValidation allowBlank="1" showInputMessage="1" showErrorMessage="1" error="Please encode City of Departure" prompt="Please encode City of Departure" sqref="F13:F14"/>
    <dataValidation type="whole" allowBlank="1" showInputMessage="1" showErrorMessage="1" error="Please encode the number of days - Max 90 days for Student and Staff (whole number only)" prompt="Please encode the number of days - Max 90 days for Student and Staff (whole number only)" sqref="K13:K14">
      <formula1>0</formula1>
      <formula2>90</formula2>
    </dataValidation>
    <dataValidation type="list" allowBlank="1" showInputMessage="1" showErrorMessage="1" error="Click arrow to select Category" prompt="Click arrow to select Category" sqref="G13:G14">
      <formula1>Category2</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Distance" prompt="Click arrow to select Distance" sqref="J13:J14">
      <formula1>TravelBands</formula1>
    </dataValidation>
    <dataValidation type="list" allowBlank="1" showInputMessage="1" showErrorMessage="1" error="Click arrow to select Partner N°" prompt="Click arrow to select Partner N°" sqref="C13:C14">
      <formula1>PartnerN°</formula1>
    </dataValidation>
    <dataValidation type="list" allowBlank="1" showInputMessage="1" showErrorMessage="1" errorTitle="Select correct option" error="Please use the drop down menu to select the correct option" sqref="L13:L14">
      <formula1>Exceptional_costs</formula1>
    </dataValidation>
    <dataValidation type="decimal" operator="greaterThanOrEqual" allowBlank="1" showInputMessage="1" showErrorMessage="1" errorTitle="Warning: Cost must be number" error="Please enter a numeric value." sqref="M13:M14">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25">
      <c r="B1" s="184"/>
      <c r="C1" s="184"/>
      <c r="D1" s="184"/>
      <c r="E1" s="184"/>
      <c r="F1" s="184"/>
      <c r="G1" s="184"/>
      <c r="H1" s="184"/>
      <c r="I1" s="184"/>
    </row>
    <row r="2" spans="2:9" s="24" customFormat="1" ht="39.9" customHeight="1" x14ac:dyDescent="0.25">
      <c r="B2" s="162" t="s">
        <v>185</v>
      </c>
      <c r="C2" s="162"/>
      <c r="D2" s="162"/>
      <c r="E2" s="162"/>
      <c r="F2" s="162"/>
      <c r="G2" s="162"/>
      <c r="H2" s="162"/>
      <c r="I2" s="162"/>
    </row>
    <row r="3" spans="2:9" s="24" customFormat="1" ht="8.1" customHeight="1" x14ac:dyDescent="0.2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25">
      <c r="B10" s="138"/>
      <c r="C10" s="139"/>
      <c r="D10" s="139"/>
      <c r="E10" s="139"/>
      <c r="F10" s="139"/>
      <c r="G10" s="139"/>
      <c r="H10" s="139"/>
      <c r="I10" s="140"/>
    </row>
    <row r="11" spans="2:9" s="49" customFormat="1" ht="42" customHeight="1" x14ac:dyDescent="0.35">
      <c r="B11" s="133" t="s">
        <v>162</v>
      </c>
      <c r="C11" s="133" t="s">
        <v>147</v>
      </c>
      <c r="D11" s="133" t="s">
        <v>216</v>
      </c>
      <c r="E11" s="186" t="s">
        <v>217</v>
      </c>
      <c r="F11" s="145" t="s">
        <v>132</v>
      </c>
      <c r="G11" s="185" t="s">
        <v>165</v>
      </c>
      <c r="H11" s="185" t="s">
        <v>164</v>
      </c>
      <c r="I11" s="185" t="s">
        <v>218</v>
      </c>
    </row>
    <row r="12" spans="2:9" ht="23.85" customHeight="1" x14ac:dyDescent="0.35">
      <c r="B12" s="134"/>
      <c r="C12" s="134"/>
      <c r="D12" s="134"/>
      <c r="E12" s="145"/>
      <c r="F12" s="134"/>
      <c r="G12" s="134"/>
      <c r="H12" s="134"/>
      <c r="I12" s="134"/>
    </row>
    <row r="13" spans="2:9" s="38" customFormat="1" hidden="1" x14ac:dyDescent="0.2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IF(OR(COUNTIF(WorkPackage,B13)=0,COUNTIF(PartnerN°,C13)=0,D13="",COUNTIF(CountryEligEquip,E13)=0,F13="",ISNUMBER(G13)=FALSE,IF(ISNUMBER(G13)=TRUE,G13=INT(G13*100)/100=FALSE)),"Error","")</f>
        <v>Error</v>
      </c>
    </row>
    <row r="14" spans="2:9" s="38" customFormat="1" x14ac:dyDescent="0.25">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1" priority="368" operator="containsText" text="Error">
      <formula>NOT(ISERROR(SEARCH("Error",I13)))</formula>
    </cfRule>
  </conditionalFormatting>
  <conditionalFormatting sqref="D13:E14">
    <cfRule type="containsBlanks" dxfId="40" priority="363">
      <formula>LEN(TRIM(D13))=0</formula>
    </cfRule>
  </conditionalFormatting>
  <conditionalFormatting sqref="E13">
    <cfRule type="expression" dxfId="39" priority="285">
      <formula>COUNTIF(CountryEligEquip,E13)=0</formula>
    </cfRule>
  </conditionalFormatting>
  <conditionalFormatting sqref="E14">
    <cfRule type="expression" dxfId="38" priority="286">
      <formula>COUNTIF(CountryEligEquip,E14)=0</formula>
    </cfRule>
  </conditionalFormatting>
  <conditionalFormatting sqref="G13">
    <cfRule type="cellIs" dxfId="37" priority="14" operator="lessThanOrEqual">
      <formula>0</formula>
    </cfRule>
  </conditionalFormatting>
  <conditionalFormatting sqref="F13:G13">
    <cfRule type="containsBlanks" dxfId="36" priority="11">
      <formula>LEN(TRIM(F13))=0</formula>
    </cfRule>
  </conditionalFormatting>
  <conditionalFormatting sqref="G14">
    <cfRule type="cellIs" dxfId="35" priority="10" operator="lessThanOrEqual">
      <formula>0</formula>
    </cfRule>
  </conditionalFormatting>
  <conditionalFormatting sqref="F14:G14">
    <cfRule type="containsBlanks" dxfId="34" priority="9">
      <formula>LEN(TRIM(F14))=0</formula>
    </cfRule>
  </conditionalFormatting>
  <conditionalFormatting sqref="B13:C13">
    <cfRule type="containsBlanks" dxfId="33" priority="8">
      <formula>LEN(TRIM(B13))=0</formula>
    </cfRule>
  </conditionalFormatting>
  <conditionalFormatting sqref="B14:C14">
    <cfRule type="containsBlanks" dxfId="32" priority="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25">
      <c r="B1" s="184"/>
      <c r="C1" s="184"/>
      <c r="D1" s="184"/>
      <c r="E1" s="184"/>
      <c r="F1" s="184"/>
      <c r="G1" s="184"/>
      <c r="H1" s="184"/>
      <c r="I1" s="184"/>
    </row>
    <row r="2" spans="2:9" s="24" customFormat="1" ht="39.9" customHeight="1" x14ac:dyDescent="0.25">
      <c r="B2" s="162" t="s">
        <v>186</v>
      </c>
      <c r="C2" s="162"/>
      <c r="D2" s="162"/>
      <c r="E2" s="162"/>
      <c r="F2" s="162"/>
      <c r="G2" s="162"/>
      <c r="H2" s="162"/>
      <c r="I2" s="162"/>
    </row>
    <row r="3" spans="2:9" s="24" customFormat="1" ht="8.1" customHeight="1" x14ac:dyDescent="0.2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25">
      <c r="B10" s="138"/>
      <c r="C10" s="139"/>
      <c r="D10" s="139"/>
      <c r="E10" s="139"/>
      <c r="F10" s="139"/>
      <c r="G10" s="139"/>
      <c r="H10" s="139"/>
      <c r="I10" s="140"/>
    </row>
    <row r="11" spans="2:9" s="49" customFormat="1" ht="42" customHeight="1" x14ac:dyDescent="0.35">
      <c r="B11" s="133" t="s">
        <v>162</v>
      </c>
      <c r="C11" s="133" t="s">
        <v>147</v>
      </c>
      <c r="D11" s="133" t="s">
        <v>216</v>
      </c>
      <c r="E11" s="133" t="s">
        <v>217</v>
      </c>
      <c r="F11" s="145" t="s">
        <v>132</v>
      </c>
      <c r="G11" s="185" t="s">
        <v>165</v>
      </c>
      <c r="H11" s="185" t="s">
        <v>164</v>
      </c>
      <c r="I11" s="185" t="s">
        <v>218</v>
      </c>
    </row>
    <row r="12" spans="2:9" ht="23.85" customHeight="1" x14ac:dyDescent="0.35">
      <c r="B12" s="134"/>
      <c r="C12" s="134"/>
      <c r="D12" s="134"/>
      <c r="E12" s="134"/>
      <c r="F12" s="134"/>
      <c r="G12" s="134"/>
      <c r="H12" s="134"/>
      <c r="I12" s="134"/>
    </row>
    <row r="13" spans="2:9" s="38" customFormat="1" hidden="1" x14ac:dyDescent="0.2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25">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1" priority="189" operator="containsText" text="Error">
      <formula>NOT(ISERROR(SEARCH("Error",I13)))</formula>
    </cfRule>
  </conditionalFormatting>
  <conditionalFormatting sqref="D13:E14">
    <cfRule type="containsBlanks" dxfId="30" priority="183">
      <formula>LEN(TRIM(D13))=0</formula>
    </cfRule>
  </conditionalFormatting>
  <conditionalFormatting sqref="G13">
    <cfRule type="cellIs" dxfId="29" priority="8" operator="lessThanOrEqual">
      <formula>0</formula>
    </cfRule>
  </conditionalFormatting>
  <conditionalFormatting sqref="F13:G13">
    <cfRule type="containsBlanks" dxfId="28" priority="5">
      <formula>LEN(TRIM(F13))=0</formula>
    </cfRule>
  </conditionalFormatting>
  <conditionalFormatting sqref="G14">
    <cfRule type="cellIs" dxfId="27" priority="4" operator="lessThanOrEqual">
      <formula>0</formula>
    </cfRule>
  </conditionalFormatting>
  <conditionalFormatting sqref="F14:G14">
    <cfRule type="containsBlanks" dxfId="26" priority="3">
      <formula>LEN(TRIM(F14))=0</formula>
    </cfRule>
  </conditionalFormatting>
  <conditionalFormatting sqref="B13:C13">
    <cfRule type="containsBlanks" dxfId="25" priority="2">
      <formula>LEN(TRIM(B13))=0</formula>
    </cfRule>
  </conditionalFormatting>
  <conditionalFormatting sqref="B14:C14">
    <cfRule type="containsBlanks" dxfId="24" priority="1">
      <formula>LEN(TRIM(B14))=0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25">
      <c r="B1" s="184"/>
      <c r="C1" s="184"/>
      <c r="D1" s="184"/>
      <c r="E1" s="184"/>
      <c r="F1" s="184"/>
      <c r="G1" s="184"/>
      <c r="H1" s="184"/>
      <c r="I1" s="184"/>
      <c r="J1" s="184"/>
    </row>
    <row r="2" spans="2:10" s="24" customFormat="1" ht="39.9" customHeight="1" x14ac:dyDescent="0.25">
      <c r="B2" s="144" t="s">
        <v>199</v>
      </c>
      <c r="C2" s="144"/>
      <c r="D2" s="144"/>
      <c r="E2" s="144"/>
      <c r="F2" s="144"/>
      <c r="G2" s="144"/>
      <c r="H2" s="144"/>
      <c r="I2" s="144"/>
      <c r="J2" s="144"/>
    </row>
    <row r="3" spans="2:10" s="24" customFormat="1" ht="8.1" customHeight="1" x14ac:dyDescent="0.25">
      <c r="B3" s="141"/>
      <c r="C3" s="142"/>
      <c r="D3" s="142"/>
      <c r="E3" s="142"/>
      <c r="F3" s="142"/>
      <c r="G3" s="142"/>
      <c r="H3" s="142"/>
      <c r="I3" s="142"/>
      <c r="J3" s="143"/>
    </row>
    <row r="4" spans="2:10" s="24" customFormat="1" ht="9.9" customHeight="1" x14ac:dyDescent="0.35">
      <c r="B4" s="199" t="s">
        <v>184</v>
      </c>
      <c r="C4" s="196">
        <f>SUM(I:I)</f>
        <v>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25">
      <c r="B10" s="138"/>
      <c r="C10" s="139"/>
      <c r="D10" s="139"/>
      <c r="E10" s="139"/>
      <c r="F10" s="139"/>
      <c r="G10" s="139"/>
      <c r="H10" s="139"/>
      <c r="I10" s="139"/>
      <c r="J10" s="140"/>
    </row>
    <row r="11" spans="2:10" s="49" customFormat="1" ht="42" customHeight="1" x14ac:dyDescent="0.35">
      <c r="B11" s="133" t="s">
        <v>147</v>
      </c>
      <c r="C11" s="133" t="s">
        <v>216</v>
      </c>
      <c r="D11" s="133" t="s">
        <v>217</v>
      </c>
      <c r="E11" s="133" t="s">
        <v>188</v>
      </c>
      <c r="F11" s="145" t="s">
        <v>189</v>
      </c>
      <c r="G11" s="145" t="s">
        <v>190</v>
      </c>
      <c r="H11" s="185" t="s">
        <v>165</v>
      </c>
      <c r="I11" s="185" t="s">
        <v>164</v>
      </c>
      <c r="J11" s="185" t="s">
        <v>218</v>
      </c>
    </row>
    <row r="12" spans="2:10" ht="23.85" customHeight="1" x14ac:dyDescent="0.35">
      <c r="B12" s="134"/>
      <c r="C12" s="134"/>
      <c r="D12" s="134"/>
      <c r="E12" s="134"/>
      <c r="F12" s="134"/>
      <c r="G12" s="134"/>
      <c r="H12" s="134"/>
      <c r="I12" s="134"/>
      <c r="J12" s="134"/>
    </row>
    <row r="13" spans="2:10" s="38" customFormat="1" hidden="1" x14ac:dyDescent="0.25">
      <c r="B13" s="23"/>
      <c r="C13" s="46" t="str">
        <f>IFERROR(IF(VLOOKUP(B13,PartnerN°Ref,2,FALSE)=0,"",VLOOKUP(B13,PartnerN°Ref,2,FALSE)),"")</f>
        <v/>
      </c>
      <c r="D13" s="46" t="str">
        <f>IFERROR(IF(OR(VLOOKUP(B13,PartnerN°Ref,4,FALSE)="Country not found",VLOOKUP(B13,PartnerN°Ref,3,FALSE)=0),"",VLOOKUP(B13,PartnerN°Ref,3,FALSE)),"")</f>
        <v/>
      </c>
      <c r="E13" s="22"/>
      <c r="F13" s="22"/>
      <c r="G13" s="22"/>
      <c r="H13" s="39">
        <v>0</v>
      </c>
      <c r="I13" s="40">
        <f>IF(J13="Error",0,ROUND(H13,2))</f>
        <v>0</v>
      </c>
      <c r="J13" s="37" t="str">
        <f>IF(OR(COUNTIF(PartnerN°,B13)=0,C13="",COUNTIF(CountryALL,D13)=0,E13="",F13="",G13="",ISNUMBER(H13)=FALSE,IF(ISNUMBER(H13)=TRUE,H13=INT(H13*100)/100=FALSE)),"Error","")</f>
        <v>Error</v>
      </c>
    </row>
    <row r="14" spans="2:10" s="38" customFormat="1" x14ac:dyDescent="0.25">
      <c r="B14" s="23"/>
      <c r="C14" s="46" t="str">
        <f>IFERROR(IF(VLOOKUP(B14,PartnerN°Ref,2,FALSE)=0,"",VLOOKUP(B14,PartnerN°Ref,2,FALSE)),"")</f>
        <v/>
      </c>
      <c r="D14" s="46" t="str">
        <f>IFERROR(IF(OR(VLOOKUP(B14,PartnerN°Ref,4,FALSE)="Country not found",VLOOKUP(B14,PartnerN°Ref,3,FALSE)=0),"",VLOOKUP(B14,PartnerN°Ref,3,FALSE)),"")</f>
        <v/>
      </c>
      <c r="E14" s="22"/>
      <c r="F14" s="22"/>
      <c r="G14" s="22"/>
      <c r="H14" s="39">
        <v>0</v>
      </c>
      <c r="I14" s="40">
        <f>IF(J14="Error",0,ROUND(H14,2))</f>
        <v>0</v>
      </c>
      <c r="J14" s="37" t="str">
        <f>IF(OR(COUNTIF(PartnerN°,B14)=0,C14="",COUNTIF(CountryALL,D14)=0,E14="",F14="",G14="",ISNUMBER(H14)=FALSE,IF(ISNUMBER(H14)=TRUE,H14=INT(H14*100)/100=FALSE)),"Error","")</f>
        <v>Error</v>
      </c>
    </row>
    <row r="16" spans="2:10" x14ac:dyDescent="0.25">
      <c r="B16" s="43" t="s">
        <v>219</v>
      </c>
    </row>
    <row r="17" spans="2:2" x14ac:dyDescent="0.25">
      <c r="B17" s="43" t="s">
        <v>220</v>
      </c>
    </row>
    <row r="18" spans="2:2" x14ac:dyDescent="0.35">
      <c r="B18" s="43" t="s">
        <v>221</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25">
      <c r="B1" s="184"/>
      <c r="C1" s="184"/>
      <c r="D1" s="184"/>
      <c r="E1" s="184"/>
      <c r="F1" s="184"/>
      <c r="G1" s="184"/>
      <c r="H1" s="184"/>
      <c r="I1" s="184"/>
    </row>
    <row r="2" spans="2:9" s="24" customFormat="1" ht="30" customHeight="1" x14ac:dyDescent="0.25">
      <c r="B2" s="144" t="s">
        <v>178</v>
      </c>
      <c r="C2" s="144"/>
      <c r="D2" s="144"/>
      <c r="E2" s="144"/>
      <c r="F2" s="144"/>
      <c r="G2" s="144"/>
      <c r="H2" s="144"/>
      <c r="I2" s="144"/>
    </row>
    <row r="3" spans="2:9" s="24" customFormat="1" ht="8.1" customHeight="1" x14ac:dyDescent="0.25">
      <c r="B3" s="212"/>
      <c r="C3" s="212"/>
      <c r="D3" s="212"/>
      <c r="E3" s="212"/>
      <c r="F3" s="212"/>
      <c r="G3" s="212"/>
      <c r="H3" s="212"/>
      <c r="I3" s="212"/>
    </row>
    <row r="4" spans="2:9" s="49" customFormat="1" ht="42" customHeight="1" x14ac:dyDescent="0.25">
      <c r="B4" s="48" t="s">
        <v>162</v>
      </c>
      <c r="C4" s="16" t="s">
        <v>191</v>
      </c>
      <c r="D4" s="16" t="s">
        <v>192</v>
      </c>
      <c r="E4" s="16" t="s">
        <v>200</v>
      </c>
      <c r="F4" s="16" t="s">
        <v>201</v>
      </c>
      <c r="G4" s="16" t="s">
        <v>202</v>
      </c>
      <c r="H4" s="16" t="s">
        <v>340</v>
      </c>
      <c r="I4" s="16" t="s">
        <v>164</v>
      </c>
    </row>
    <row r="5" spans="2:9" x14ac:dyDescent="0.25">
      <c r="B5" s="83" t="str">
        <f>'Unit Costs &amp; Funding Rule'!P10</f>
        <v>Preparation</v>
      </c>
      <c r="C5" s="25">
        <f>SUMIF('1. Staff costs'!B:B,B5,'1. Staff costs'!S:S)</f>
        <v>0</v>
      </c>
      <c r="D5" s="25">
        <f>SUMIF(' 2-3-6. Travel&amp;Costs of Stay'!B:B,B5,' 2-3-6. Travel&amp;Costs of Stay'!O:O)</f>
        <v>0</v>
      </c>
      <c r="E5" s="26">
        <f>SUMIF(' 2-3-6. Travel&amp;Costs of Stay'!B:B,B5,' 2-3-6. Travel&amp;Costs of Stay'!P:P)</f>
        <v>0</v>
      </c>
      <c r="F5" s="26">
        <f>SUMIF('4. Equipment Costs'!B:B,B5,'4. Equipment Costs'!H:H)</f>
        <v>0</v>
      </c>
      <c r="G5" s="26">
        <f>SUMIF('5. Subcontracting Costs'!B:B,B5,'5. Subcontracting Costs'!H:H)</f>
        <v>0</v>
      </c>
      <c r="H5" s="26">
        <f>SUMIF(' 2-3-6. Travel&amp;Costs of Stay'!B:B,B5,' 2-3-6. Travel&amp;Costs of Stay'!N:N)</f>
        <v>0</v>
      </c>
      <c r="I5" s="27">
        <f t="shared" ref="I5:I10" si="0">SUM(C5:H5)</f>
        <v>0</v>
      </c>
    </row>
    <row r="6" spans="2:9" ht="16.5" customHeight="1" x14ac:dyDescent="0.25">
      <c r="B6" s="83" t="str">
        <f>'Unit Costs &amp; Funding Rule'!P11</f>
        <v>Development</v>
      </c>
      <c r="C6" s="25">
        <f>SUMIF('1. Staff costs'!B:B,B6,'1. Staff costs'!S:S)</f>
        <v>0</v>
      </c>
      <c r="D6" s="25">
        <f>SUMIF(' 2-3-6. Travel&amp;Costs of Stay'!B:B,B6,' 2-3-6. Travel&amp;Costs of Stay'!O:O)</f>
        <v>0</v>
      </c>
      <c r="E6" s="26">
        <f>SUMIF(' 2-3-6. Travel&amp;Costs of Stay'!B:B,B6,' 2-3-6. Travel&amp;Costs of Stay'!P:P)</f>
        <v>0</v>
      </c>
      <c r="F6" s="26">
        <f>SUMIF('4. Equipment Costs'!B:B,B6,'4. Equipment Costs'!H:H)</f>
        <v>0</v>
      </c>
      <c r="G6" s="26">
        <f>SUMIF('5. Subcontracting Costs'!B:B,B6,'5. Subcontracting Costs'!H:H)</f>
        <v>0</v>
      </c>
      <c r="H6" s="26">
        <f>SUMIF(' 2-3-6. Travel&amp;Costs of Stay'!B:B,B6,' 2-3-6. Travel&amp;Costs of Stay'!N:N)</f>
        <v>0</v>
      </c>
      <c r="I6" s="27">
        <f t="shared" si="0"/>
        <v>0</v>
      </c>
    </row>
    <row r="7" spans="2:9" ht="16.5" customHeight="1" x14ac:dyDescent="0.25">
      <c r="B7" s="83" t="str">
        <f>'Unit Costs &amp; Funding Rule'!P12</f>
        <v>Quality Plan</v>
      </c>
      <c r="C7" s="25">
        <f>SUMIF('1. Staff costs'!B:B,B7,'1. Staff costs'!S:S)</f>
        <v>0</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0</v>
      </c>
    </row>
    <row r="8" spans="2:9" ht="16.5" customHeight="1" x14ac:dyDescent="0.25">
      <c r="B8" s="83" t="str">
        <f>'Unit Costs &amp; Funding Rule'!P13</f>
        <v>Dissemination &amp; Exploitation</v>
      </c>
      <c r="C8" s="25">
        <f>SUMIF('1. Staff costs'!B:B,B8,'1. Staff costs'!S:S)</f>
        <v>0</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0</v>
      </c>
    </row>
    <row r="9" spans="2:9" ht="16.5" customHeight="1" x14ac:dyDescent="0.25">
      <c r="B9" s="83" t="str">
        <f>'Unit Costs &amp; Funding Rule'!P14</f>
        <v>Management</v>
      </c>
      <c r="C9" s="25">
        <f>SUMIF('1. Staff costs'!B:B,B9,'1. Staff costs'!S:S)</f>
        <v>0</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0</v>
      </c>
    </row>
    <row r="10" spans="2:9" x14ac:dyDescent="0.25">
      <c r="B10" s="47" t="s">
        <v>1</v>
      </c>
      <c r="C10" s="27">
        <f t="shared" ref="C10:F10" si="1">SUM(C5:C9)</f>
        <v>0</v>
      </c>
      <c r="D10" s="27">
        <f t="shared" si="1"/>
        <v>0</v>
      </c>
      <c r="E10" s="27">
        <f t="shared" si="1"/>
        <v>0</v>
      </c>
      <c r="F10" s="27">
        <f t="shared" si="1"/>
        <v>0</v>
      </c>
      <c r="G10" s="27">
        <f>SUM(G5:G9)</f>
        <v>0</v>
      </c>
      <c r="H10" s="27">
        <f>SUM(H5:H9)</f>
        <v>0</v>
      </c>
      <c r="I10" s="21">
        <f t="shared" si="0"/>
        <v>0</v>
      </c>
    </row>
    <row r="11" spans="2:9" ht="20.100000000000001" customHeight="1" x14ac:dyDescent="0.25">
      <c r="B11" s="211"/>
      <c r="C11" s="211"/>
      <c r="D11" s="211"/>
      <c r="E11" s="211"/>
      <c r="F11" s="211"/>
      <c r="G11" s="211"/>
      <c r="H11" s="211"/>
      <c r="I11" s="211"/>
    </row>
    <row r="12" spans="2:9" ht="30" customHeight="1" x14ac:dyDescent="0.25">
      <c r="B12" s="144" t="s">
        <v>203</v>
      </c>
      <c r="C12" s="144"/>
      <c r="D12" s="144"/>
      <c r="E12" s="144"/>
      <c r="F12" s="144"/>
      <c r="G12" s="144"/>
      <c r="H12" s="144"/>
      <c r="I12" s="144"/>
    </row>
    <row r="13" spans="2:9" ht="8.1" customHeight="1" x14ac:dyDescent="0.25">
      <c r="B13" s="209"/>
      <c r="C13" s="209"/>
      <c r="D13" s="209"/>
      <c r="E13" s="209"/>
      <c r="F13" s="209"/>
      <c r="G13" s="209"/>
      <c r="H13" s="209"/>
      <c r="I13" s="209"/>
    </row>
    <row r="14" spans="2:9" ht="36" x14ac:dyDescent="0.25">
      <c r="B14" s="48" t="s">
        <v>177</v>
      </c>
      <c r="C14" s="16" t="s">
        <v>191</v>
      </c>
      <c r="D14" s="16" t="s">
        <v>192</v>
      </c>
      <c r="E14" s="16" t="s">
        <v>200</v>
      </c>
      <c r="F14" s="16" t="s">
        <v>201</v>
      </c>
      <c r="G14" s="16" t="s">
        <v>202</v>
      </c>
      <c r="H14" s="16" t="s">
        <v>340</v>
      </c>
      <c r="I14" s="16" t="s">
        <v>164</v>
      </c>
    </row>
    <row r="15" spans="2:9" x14ac:dyDescent="0.25">
      <c r="B15" s="83" t="s">
        <v>196</v>
      </c>
      <c r="C15" s="25">
        <f>SUMIF(Overview!$E$27:$E$81,B15,Overview!$F$27:$F$81)</f>
        <v>0</v>
      </c>
      <c r="D15" s="25">
        <f>SUMIF(Overview!$E$27:$E$81,B15,Overview!$G$27:$G$81)</f>
        <v>0</v>
      </c>
      <c r="E15" s="25">
        <f>SUMIF(Overview!$E$27:$E$81,B15,Overview!$H$27:$H$81)</f>
        <v>0</v>
      </c>
      <c r="F15" s="25">
        <f>SUMIF(Overview!$E$27:$E$81,B15,Overview!$I$27:$I$81)</f>
        <v>0</v>
      </c>
      <c r="G15" s="25">
        <f>SUMIF(Overview!$E$27:$E$81,B15,Overview!$J$27:$J$81)</f>
        <v>0</v>
      </c>
      <c r="H15" s="25">
        <f>SUMIF(Overview!$E$27:$E$81,B15,Overview!$K$27:$K$81)</f>
        <v>0</v>
      </c>
      <c r="I15" s="27">
        <f>SUM(C15:H15)</f>
        <v>0</v>
      </c>
    </row>
    <row r="16" spans="2:9" x14ac:dyDescent="0.25">
      <c r="B16" s="83" t="s">
        <v>197</v>
      </c>
      <c r="C16" s="25">
        <f>SUMIF(Overview!$E$27:$E$81,B16,Overview!$F$27:$F$81)</f>
        <v>0</v>
      </c>
      <c r="D16" s="25">
        <f>SUMIF(Overview!$E$27:$E$81,B16,Overview!$G$27:$G$81)</f>
        <v>0</v>
      </c>
      <c r="E16" s="25">
        <f>SUMIF(Overview!$E$27:$E$81,B16,Overview!$H$27:$H$81)</f>
        <v>0</v>
      </c>
      <c r="F16" s="25">
        <f>SUMIF(Overview!$E$27:$E$81,B16,Overview!$I$27:$I$81)</f>
        <v>0</v>
      </c>
      <c r="G16" s="25">
        <f>SUMIF(Overview!$E$27:$E$81,B16,Overview!$J$27:$J$81)</f>
        <v>0</v>
      </c>
      <c r="H16" s="25">
        <f>SUMIF(Overview!$E$27:$E$81,B16,Overview!$K$27:$K$81)</f>
        <v>0</v>
      </c>
      <c r="I16" s="27">
        <f>SUM(C16:H16)</f>
        <v>0</v>
      </c>
    </row>
    <row r="17" spans="2:9" x14ac:dyDescent="0.25">
      <c r="B17" s="47" t="s">
        <v>1</v>
      </c>
      <c r="C17" s="27">
        <f t="shared" ref="C17:F17" si="2">SUM(C15:C16)</f>
        <v>0</v>
      </c>
      <c r="D17" s="27">
        <f t="shared" si="2"/>
        <v>0</v>
      </c>
      <c r="E17" s="27">
        <f t="shared" si="2"/>
        <v>0</v>
      </c>
      <c r="F17" s="27">
        <f t="shared" si="2"/>
        <v>0</v>
      </c>
      <c r="G17" s="27">
        <f>SUM(G15:G16)</f>
        <v>0</v>
      </c>
      <c r="H17" s="27">
        <f>SUM(H15:H16)</f>
        <v>0</v>
      </c>
      <c r="I17" s="21">
        <f>SUM(C17:H17)</f>
        <v>0</v>
      </c>
    </row>
    <row r="18" spans="2:9" ht="20.100000000000001" customHeight="1" x14ac:dyDescent="0.25">
      <c r="B18" s="210"/>
      <c r="C18" s="210"/>
      <c r="D18" s="210"/>
      <c r="E18" s="210"/>
      <c r="F18" s="210"/>
      <c r="G18" s="210"/>
      <c r="H18" s="210"/>
      <c r="I18" s="210"/>
    </row>
    <row r="19" spans="2:9" ht="30" customHeight="1" x14ac:dyDescent="0.25">
      <c r="B19" s="144" t="s">
        <v>205</v>
      </c>
      <c r="C19" s="144"/>
      <c r="D19" s="144"/>
      <c r="E19" s="144"/>
      <c r="F19" s="144"/>
      <c r="G19" s="144"/>
      <c r="H19" s="144"/>
      <c r="I19" s="144"/>
    </row>
    <row r="20" spans="2:9" ht="8.1" customHeight="1" x14ac:dyDescent="0.25">
      <c r="B20" s="209"/>
      <c r="C20" s="209"/>
      <c r="D20" s="209"/>
      <c r="E20" s="209"/>
      <c r="F20" s="209"/>
      <c r="G20" s="209"/>
      <c r="H20" s="209"/>
      <c r="I20" s="209"/>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7" t="s">
        <v>164</v>
      </c>
      <c r="I21" s="208"/>
    </row>
    <row r="22" spans="2:9" x14ac:dyDescent="0.25">
      <c r="B22" s="52" t="s">
        <v>8</v>
      </c>
      <c r="C22" s="26">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6">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6">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6">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6">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205">
        <f t="shared" ref="H22:H34" si="3">SUM(C22:G22)</f>
        <v>0</v>
      </c>
      <c r="I22" s="206"/>
    </row>
    <row r="23" spans="2:9" x14ac:dyDescent="0.25">
      <c r="B23" s="52" t="s">
        <v>9</v>
      </c>
      <c r="C23" s="26">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6">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0</v>
      </c>
      <c r="E23" s="26">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0</v>
      </c>
      <c r="F23" s="26">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6">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205">
        <f t="shared" si="3"/>
        <v>0</v>
      </c>
      <c r="I23" s="206"/>
    </row>
    <row r="24" spans="2:9" x14ac:dyDescent="0.25">
      <c r="B24" s="52" t="s">
        <v>10</v>
      </c>
      <c r="C24" s="26">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6">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6">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6">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6">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205">
        <f t="shared" si="3"/>
        <v>0</v>
      </c>
      <c r="I24" s="206"/>
    </row>
    <row r="25" spans="2:9" x14ac:dyDescent="0.25">
      <c r="B25" s="52" t="s">
        <v>11</v>
      </c>
      <c r="C25" s="26">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6">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6">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6">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6">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205">
        <f t="shared" si="3"/>
        <v>0</v>
      </c>
      <c r="I25" s="206"/>
    </row>
    <row r="26" spans="2:9" x14ac:dyDescent="0.35">
      <c r="B26" s="52" t="s">
        <v>12</v>
      </c>
      <c r="C26" s="26">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6">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6">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6">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6">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205">
        <f t="shared" si="3"/>
        <v>0</v>
      </c>
      <c r="I26" s="206"/>
    </row>
    <row r="27" spans="2:9" x14ac:dyDescent="0.35">
      <c r="B27" s="52" t="s">
        <v>13</v>
      </c>
      <c r="C27" s="26">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6">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6">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6">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6">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205">
        <f t="shared" si="3"/>
        <v>0</v>
      </c>
      <c r="I27" s="206"/>
    </row>
    <row r="28" spans="2:9" x14ac:dyDescent="0.35">
      <c r="B28" s="52" t="s">
        <v>14</v>
      </c>
      <c r="C28" s="26">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6">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6">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6">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6">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205">
        <f t="shared" si="3"/>
        <v>0</v>
      </c>
      <c r="I28" s="206"/>
    </row>
    <row r="29" spans="2:9" x14ac:dyDescent="0.35">
      <c r="B29" s="52" t="s">
        <v>15</v>
      </c>
      <c r="C29" s="26">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6">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6">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6">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6">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205">
        <f t="shared" si="3"/>
        <v>0</v>
      </c>
      <c r="I29" s="206"/>
    </row>
    <row r="30" spans="2:9" x14ac:dyDescent="0.35">
      <c r="B30" s="52" t="s">
        <v>16</v>
      </c>
      <c r="C30" s="26">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6">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0</v>
      </c>
      <c r="E30" s="26">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6">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6">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205">
        <f t="shared" si="3"/>
        <v>0</v>
      </c>
      <c r="I30" s="206"/>
    </row>
    <row r="31" spans="2:9" x14ac:dyDescent="0.35">
      <c r="B31" s="52" t="s">
        <v>17</v>
      </c>
      <c r="C31" s="26">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6">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0</v>
      </c>
      <c r="E31" s="26">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6">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6">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205">
        <f t="shared" si="3"/>
        <v>0</v>
      </c>
      <c r="I31" s="206"/>
    </row>
    <row r="32" spans="2:9" x14ac:dyDescent="0.35">
      <c r="B32" s="52" t="s">
        <v>18</v>
      </c>
      <c r="C32" s="26">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6">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0</v>
      </c>
      <c r="E32" s="26">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6">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6">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205">
        <f t="shared" si="3"/>
        <v>0</v>
      </c>
      <c r="I32" s="206"/>
    </row>
    <row r="33" spans="2:9" x14ac:dyDescent="0.35">
      <c r="B33" s="52" t="s">
        <v>19</v>
      </c>
      <c r="C33" s="26">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6">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6">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6">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6">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205">
        <f t="shared" si="3"/>
        <v>0</v>
      </c>
      <c r="I33" s="206"/>
    </row>
    <row r="34" spans="2:9" x14ac:dyDescent="0.35">
      <c r="B34" s="52" t="s">
        <v>156</v>
      </c>
      <c r="C34" s="26">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6">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0</v>
      </c>
      <c r="E34" s="26">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6">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6">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205">
        <f t="shared" si="3"/>
        <v>0</v>
      </c>
      <c r="I34" s="206"/>
    </row>
    <row r="35" spans="2:9" x14ac:dyDescent="0.35">
      <c r="B35" s="52" t="s">
        <v>20</v>
      </c>
      <c r="C35" s="26">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6">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6">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6">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6">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205">
        <f t="shared" ref="H35:H76" si="4">SUM(C35:G35)</f>
        <v>0</v>
      </c>
      <c r="I35" s="206"/>
    </row>
    <row r="36" spans="2:9" x14ac:dyDescent="0.35">
      <c r="B36" s="52" t="s">
        <v>21</v>
      </c>
      <c r="C36" s="26">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6">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6">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6">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6">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205">
        <f t="shared" si="4"/>
        <v>0</v>
      </c>
      <c r="I36" s="206"/>
    </row>
    <row r="37" spans="2:9" x14ac:dyDescent="0.35">
      <c r="B37" s="52" t="s">
        <v>22</v>
      </c>
      <c r="C37" s="26">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6">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6">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6">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6">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05">
        <f t="shared" si="4"/>
        <v>0</v>
      </c>
      <c r="I37" s="206"/>
    </row>
    <row r="38" spans="2:9" x14ac:dyDescent="0.35">
      <c r="B38" s="52" t="s">
        <v>23</v>
      </c>
      <c r="C38" s="26">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6">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6">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6">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6">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205">
        <f t="shared" si="4"/>
        <v>0</v>
      </c>
      <c r="I38" s="206"/>
    </row>
    <row r="39" spans="2:9" x14ac:dyDescent="0.35">
      <c r="B39" s="52" t="s">
        <v>24</v>
      </c>
      <c r="C39" s="26">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6">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6">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6">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6">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205">
        <f t="shared" si="4"/>
        <v>0</v>
      </c>
      <c r="I39" s="206"/>
    </row>
    <row r="40" spans="2:9" x14ac:dyDescent="0.35">
      <c r="B40" s="52" t="s">
        <v>25</v>
      </c>
      <c r="C40" s="26">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6">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6">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6">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6">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05">
        <f t="shared" si="4"/>
        <v>0</v>
      </c>
      <c r="I40" s="206"/>
    </row>
    <row r="41" spans="2:9" x14ac:dyDescent="0.35">
      <c r="B41" s="52" t="s">
        <v>26</v>
      </c>
      <c r="C41" s="26">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6">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6">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6">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6">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05">
        <f t="shared" si="4"/>
        <v>0</v>
      </c>
      <c r="I41" s="206"/>
    </row>
    <row r="42" spans="2:9" x14ac:dyDescent="0.35">
      <c r="B42" s="52" t="s">
        <v>109</v>
      </c>
      <c r="C42" s="26">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6">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6">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6">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6">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05">
        <f t="shared" si="4"/>
        <v>0</v>
      </c>
      <c r="I42" s="206"/>
    </row>
    <row r="43" spans="2:9" x14ac:dyDescent="0.35">
      <c r="B43" s="52" t="s">
        <v>110</v>
      </c>
      <c r="C43" s="26">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6">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6">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6">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6">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05">
        <f t="shared" si="4"/>
        <v>0</v>
      </c>
      <c r="I43" s="206"/>
    </row>
    <row r="44" spans="2:9" x14ac:dyDescent="0.35">
      <c r="B44" s="52" t="s">
        <v>111</v>
      </c>
      <c r="C44" s="26">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6">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6">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6">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6">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05">
        <f t="shared" si="4"/>
        <v>0</v>
      </c>
      <c r="I44" s="206"/>
    </row>
    <row r="45" spans="2:9" x14ac:dyDescent="0.35">
      <c r="B45" s="52" t="s">
        <v>112</v>
      </c>
      <c r="C45" s="26">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6">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6">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6">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6">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05">
        <f t="shared" si="4"/>
        <v>0</v>
      </c>
      <c r="I45" s="206"/>
    </row>
    <row r="46" spans="2:9" x14ac:dyDescent="0.35">
      <c r="B46" s="52" t="s">
        <v>113</v>
      </c>
      <c r="C46" s="26">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6">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6">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6">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6">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05">
        <f t="shared" si="4"/>
        <v>0</v>
      </c>
      <c r="I46" s="206"/>
    </row>
    <row r="47" spans="2:9" x14ac:dyDescent="0.35">
      <c r="B47" s="52" t="s">
        <v>114</v>
      </c>
      <c r="C47" s="26">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6">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6">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6">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6">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05">
        <f t="shared" si="4"/>
        <v>0</v>
      </c>
      <c r="I47" s="206"/>
    </row>
    <row r="48" spans="2:9" x14ac:dyDescent="0.35">
      <c r="B48" s="52" t="s">
        <v>115</v>
      </c>
      <c r="C48" s="26">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6">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6">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6">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6">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05">
        <f t="shared" si="4"/>
        <v>0</v>
      </c>
      <c r="I48" s="206"/>
    </row>
    <row r="49" spans="2:9" x14ac:dyDescent="0.35">
      <c r="B49" s="52" t="s">
        <v>116</v>
      </c>
      <c r="C49" s="26">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6">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6">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6">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6">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05">
        <f t="shared" si="4"/>
        <v>0</v>
      </c>
      <c r="I49" s="206"/>
    </row>
    <row r="50" spans="2:9" x14ac:dyDescent="0.35">
      <c r="B50" s="52" t="s">
        <v>117</v>
      </c>
      <c r="C50" s="26">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6">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6">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6">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6">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05">
        <f t="shared" si="4"/>
        <v>0</v>
      </c>
      <c r="I50" s="206"/>
    </row>
    <row r="51" spans="2:9" x14ac:dyDescent="0.35">
      <c r="B51" s="52" t="s">
        <v>118</v>
      </c>
      <c r="C51" s="26">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6">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6">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6">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6">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05">
        <f t="shared" si="4"/>
        <v>0</v>
      </c>
      <c r="I51" s="206"/>
    </row>
    <row r="52" spans="2:9" x14ac:dyDescent="0.35">
      <c r="B52" s="52" t="s">
        <v>119</v>
      </c>
      <c r="C52" s="26">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6">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6">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6">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6">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05">
        <f t="shared" si="4"/>
        <v>0</v>
      </c>
      <c r="I52" s="206"/>
    </row>
    <row r="53" spans="2:9" x14ac:dyDescent="0.35">
      <c r="B53" s="52" t="s">
        <v>120</v>
      </c>
      <c r="C53" s="26">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6">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6">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6">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6">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05">
        <f t="shared" si="4"/>
        <v>0</v>
      </c>
      <c r="I53" s="206"/>
    </row>
    <row r="54" spans="2:9" x14ac:dyDescent="0.35">
      <c r="B54" s="52" t="s">
        <v>121</v>
      </c>
      <c r="C54" s="26">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6">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6">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6">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6">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05">
        <f t="shared" si="4"/>
        <v>0</v>
      </c>
      <c r="I54" s="206"/>
    </row>
    <row r="55" spans="2:9" x14ac:dyDescent="0.35">
      <c r="B55" s="52" t="s">
        <v>122</v>
      </c>
      <c r="C55" s="26">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6">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6">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6">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6">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05">
        <f t="shared" si="4"/>
        <v>0</v>
      </c>
      <c r="I55" s="206"/>
    </row>
    <row r="56" spans="2:9" x14ac:dyDescent="0.35">
      <c r="B56" s="52" t="s">
        <v>123</v>
      </c>
      <c r="C56" s="26">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6">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6">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6">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6">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05">
        <f t="shared" si="4"/>
        <v>0</v>
      </c>
      <c r="I56" s="206"/>
    </row>
    <row r="57" spans="2:9" x14ac:dyDescent="0.35">
      <c r="B57" s="52" t="s">
        <v>124</v>
      </c>
      <c r="C57" s="26">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6">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6">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6">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6">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05">
        <f t="shared" si="4"/>
        <v>0</v>
      </c>
      <c r="I57" s="206"/>
    </row>
    <row r="58" spans="2:9" x14ac:dyDescent="0.35">
      <c r="B58" s="52" t="s">
        <v>125</v>
      </c>
      <c r="C58" s="26">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6">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6">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6">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6">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05">
        <f t="shared" si="4"/>
        <v>0</v>
      </c>
      <c r="I58" s="206"/>
    </row>
    <row r="59" spans="2:9" x14ac:dyDescent="0.35">
      <c r="B59" s="52" t="s">
        <v>126</v>
      </c>
      <c r="C59" s="26">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6">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6">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6">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6">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05">
        <f t="shared" si="4"/>
        <v>0</v>
      </c>
      <c r="I59" s="206"/>
    </row>
    <row r="60" spans="2:9" x14ac:dyDescent="0.35">
      <c r="B60" s="52" t="s">
        <v>127</v>
      </c>
      <c r="C60" s="26">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6">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6">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6">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6">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05">
        <f t="shared" si="4"/>
        <v>0</v>
      </c>
      <c r="I60" s="206"/>
    </row>
    <row r="61" spans="2:9" x14ac:dyDescent="0.35">
      <c r="B61" s="52" t="s">
        <v>128</v>
      </c>
      <c r="C61" s="26">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6">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6">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6">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6">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05">
        <f t="shared" si="4"/>
        <v>0</v>
      </c>
      <c r="I61" s="206"/>
    </row>
    <row r="62" spans="2:9" x14ac:dyDescent="0.35">
      <c r="B62" s="52" t="s">
        <v>137</v>
      </c>
      <c r="C62" s="26">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6">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6">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6">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6">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05">
        <f t="shared" si="4"/>
        <v>0</v>
      </c>
      <c r="I62" s="206"/>
    </row>
    <row r="63" spans="2:9" x14ac:dyDescent="0.35">
      <c r="B63" s="52" t="s">
        <v>138</v>
      </c>
      <c r="C63" s="26">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6">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6">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6">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6">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05">
        <f t="shared" si="4"/>
        <v>0</v>
      </c>
      <c r="I63" s="206"/>
    </row>
    <row r="64" spans="2:9" x14ac:dyDescent="0.35">
      <c r="B64" s="52" t="s">
        <v>139</v>
      </c>
      <c r="C64" s="26">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6">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6">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6">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6">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05">
        <f t="shared" si="4"/>
        <v>0</v>
      </c>
      <c r="I64" s="206"/>
    </row>
    <row r="65" spans="2:9" x14ac:dyDescent="0.35">
      <c r="B65" s="52" t="s">
        <v>140</v>
      </c>
      <c r="C65" s="26">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6">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6">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6">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6">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05">
        <f t="shared" si="4"/>
        <v>0</v>
      </c>
      <c r="I65" s="206"/>
    </row>
    <row r="66" spans="2:9" x14ac:dyDescent="0.35">
      <c r="B66" s="52" t="s">
        <v>141</v>
      </c>
      <c r="C66" s="26">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6">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6">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6">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6">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05">
        <f t="shared" si="4"/>
        <v>0</v>
      </c>
      <c r="I66" s="206"/>
    </row>
    <row r="67" spans="2:9" x14ac:dyDescent="0.35">
      <c r="B67" s="52" t="s">
        <v>142</v>
      </c>
      <c r="C67" s="26">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6">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6">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6">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6">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05">
        <f t="shared" si="4"/>
        <v>0</v>
      </c>
      <c r="I67" s="206"/>
    </row>
    <row r="68" spans="2:9" x14ac:dyDescent="0.35">
      <c r="B68" s="52" t="s">
        <v>143</v>
      </c>
      <c r="C68" s="26">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6">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6">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6">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6">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05">
        <f t="shared" si="4"/>
        <v>0</v>
      </c>
      <c r="I68" s="206"/>
    </row>
    <row r="69" spans="2:9" x14ac:dyDescent="0.35">
      <c r="B69" s="52" t="s">
        <v>144</v>
      </c>
      <c r="C69" s="26">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6">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6">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6">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6">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05">
        <f t="shared" si="4"/>
        <v>0</v>
      </c>
      <c r="I69" s="206"/>
    </row>
    <row r="70" spans="2:9" x14ac:dyDescent="0.35">
      <c r="B70" s="52" t="s">
        <v>145</v>
      </c>
      <c r="C70" s="26">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6">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6">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6">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6">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05">
        <f t="shared" si="4"/>
        <v>0</v>
      </c>
      <c r="I70" s="206"/>
    </row>
    <row r="71" spans="2:9" x14ac:dyDescent="0.35">
      <c r="B71" s="52" t="s">
        <v>146</v>
      </c>
      <c r="C71" s="26">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6">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6">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6">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6">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05">
        <f t="shared" si="4"/>
        <v>0</v>
      </c>
      <c r="I71" s="206"/>
    </row>
    <row r="72" spans="2:9" x14ac:dyDescent="0.35">
      <c r="B72" s="52" t="s">
        <v>157</v>
      </c>
      <c r="C72" s="26">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6">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6">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6">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6">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05">
        <f t="shared" si="4"/>
        <v>0</v>
      </c>
      <c r="I72" s="206"/>
    </row>
    <row r="73" spans="2:9" x14ac:dyDescent="0.35">
      <c r="B73" s="52" t="s">
        <v>158</v>
      </c>
      <c r="C73" s="26">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6">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6">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6">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6">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05">
        <f t="shared" si="4"/>
        <v>0</v>
      </c>
      <c r="I73" s="206"/>
    </row>
    <row r="74" spans="2:9" x14ac:dyDescent="0.35">
      <c r="B74" s="52" t="s">
        <v>159</v>
      </c>
      <c r="C74" s="26">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6">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6">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6">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6">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05">
        <f t="shared" si="4"/>
        <v>0</v>
      </c>
      <c r="I74" s="206"/>
    </row>
    <row r="75" spans="2:9" x14ac:dyDescent="0.35">
      <c r="B75" s="52" t="s">
        <v>160</v>
      </c>
      <c r="C75" s="26">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6">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6">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6">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6">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05">
        <f t="shared" si="4"/>
        <v>0</v>
      </c>
      <c r="I75" s="206"/>
    </row>
    <row r="76" spans="2:9" x14ac:dyDescent="0.35">
      <c r="B76" s="52" t="s">
        <v>161</v>
      </c>
      <c r="C76" s="26">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6">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6">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6">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6">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05">
        <f t="shared" si="4"/>
        <v>0</v>
      </c>
      <c r="I76" s="206"/>
    </row>
    <row r="77" spans="2:9" x14ac:dyDescent="0.35">
      <c r="B77" s="52" t="s">
        <v>1</v>
      </c>
      <c r="C77" s="27">
        <f>SUM(C22:C76)</f>
        <v>0</v>
      </c>
      <c r="D77" s="27">
        <f t="shared" ref="D77:G77" si="5">SUM(D22:D76)</f>
        <v>0</v>
      </c>
      <c r="E77" s="27">
        <f t="shared" si="5"/>
        <v>0</v>
      </c>
      <c r="F77" s="27">
        <f t="shared" si="5"/>
        <v>0</v>
      </c>
      <c r="G77" s="27">
        <f t="shared" si="5"/>
        <v>0</v>
      </c>
      <c r="H77" s="205">
        <f>SUM(C77:G77)</f>
        <v>0</v>
      </c>
      <c r="I77" s="206"/>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25">
      <c r="B1" s="213" t="s">
        <v>359</v>
      </c>
      <c r="C1" s="214"/>
      <c r="D1" s="214"/>
      <c r="E1" s="214"/>
      <c r="F1" s="214"/>
      <c r="G1" s="214"/>
      <c r="H1" s="214"/>
      <c r="I1" s="214"/>
      <c r="J1" s="214"/>
      <c r="K1" s="214"/>
      <c r="L1" s="214"/>
      <c r="M1" s="214"/>
      <c r="N1" s="214"/>
      <c r="O1" s="214"/>
      <c r="P1" s="214"/>
      <c r="Q1" s="214"/>
      <c r="R1" s="214"/>
      <c r="S1" s="214"/>
      <c r="T1" s="214"/>
      <c r="U1" s="214"/>
    </row>
    <row r="2" spans="2:21" ht="33" customHeight="1" x14ac:dyDescent="0.3">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3">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25">
      <c r="B4" s="215" t="s">
        <v>225</v>
      </c>
      <c r="C4" s="215"/>
      <c r="D4" s="215"/>
      <c r="E4" s="215"/>
      <c r="F4" s="215"/>
      <c r="G4" s="215"/>
      <c r="I4" s="215" t="s">
        <v>226</v>
      </c>
      <c r="J4" s="215"/>
      <c r="L4" s="215" t="s">
        <v>227</v>
      </c>
      <c r="M4" s="215"/>
      <c r="N4" s="215"/>
      <c r="P4" s="215" t="s">
        <v>228</v>
      </c>
      <c r="Q4" s="215"/>
      <c r="S4" s="215" t="s">
        <v>229</v>
      </c>
      <c r="T4" s="215"/>
      <c r="U4" s="215"/>
    </row>
    <row r="5" spans="2:21" s="63" customFormat="1" ht="157.5" customHeight="1" x14ac:dyDescent="0.3">
      <c r="B5" s="219" t="s">
        <v>334</v>
      </c>
      <c r="C5" s="220"/>
      <c r="D5" s="220"/>
      <c r="E5" s="220"/>
      <c r="F5" s="220"/>
      <c r="G5" s="221"/>
      <c r="I5" s="219" t="s">
        <v>315</v>
      </c>
      <c r="J5" s="221"/>
      <c r="L5" s="219" t="s">
        <v>335</v>
      </c>
      <c r="M5" s="220"/>
      <c r="N5" s="221"/>
      <c r="P5" s="219" t="s">
        <v>312</v>
      </c>
      <c r="Q5" s="221"/>
      <c r="S5" s="219" t="s">
        <v>316</v>
      </c>
      <c r="T5" s="220"/>
      <c r="U5" s="221"/>
    </row>
    <row r="6" spans="2:21" s="64" customFormat="1" ht="80.25" customHeight="1" x14ac:dyDescent="0.3">
      <c r="B6" s="222"/>
      <c r="C6" s="223"/>
      <c r="D6" s="223"/>
      <c r="E6" s="223"/>
      <c r="F6" s="223"/>
      <c r="G6" s="224"/>
      <c r="I6" s="222"/>
      <c r="J6" s="224"/>
      <c r="L6" s="222"/>
      <c r="M6" s="223"/>
      <c r="N6" s="224"/>
      <c r="P6" s="222"/>
      <c r="Q6" s="224"/>
      <c r="S6" s="222"/>
      <c r="T6" s="223"/>
      <c r="U6" s="224"/>
    </row>
    <row r="7" spans="2:21" ht="82.5" customHeight="1" x14ac:dyDescent="0.3">
      <c r="B7" s="65" t="s">
        <v>0</v>
      </c>
      <c r="C7" s="65" t="s">
        <v>176</v>
      </c>
      <c r="D7" s="65" t="s">
        <v>131</v>
      </c>
      <c r="E7" s="66" t="s">
        <v>129</v>
      </c>
      <c r="F7" s="66" t="s">
        <v>314</v>
      </c>
      <c r="G7" s="66" t="s">
        <v>313</v>
      </c>
      <c r="I7" s="66" t="s">
        <v>27</v>
      </c>
      <c r="J7" s="66" t="s">
        <v>171</v>
      </c>
      <c r="L7" s="67" t="s">
        <v>215</v>
      </c>
      <c r="M7" s="67" t="s">
        <v>210</v>
      </c>
      <c r="N7" s="67" t="s">
        <v>208</v>
      </c>
      <c r="P7" s="216" t="s">
        <v>328</v>
      </c>
      <c r="Q7" s="217"/>
      <c r="S7" s="216" t="s">
        <v>329</v>
      </c>
      <c r="T7" s="218"/>
      <c r="U7" s="217"/>
    </row>
    <row r="8" spans="2:21" ht="15" customHeight="1" x14ac:dyDescent="0.3">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3">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ht="16.5" x14ac:dyDescent="0.3">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ht="16.5" x14ac:dyDescent="0.3">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ht="16.5" x14ac:dyDescent="0.3">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ht="16.5" x14ac:dyDescent="0.3">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ht="16.5" x14ac:dyDescent="0.3">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ht="16.5" x14ac:dyDescent="0.3">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3">
      <c r="B16" s="68" t="s">
        <v>34</v>
      </c>
      <c r="C16" s="68" t="s">
        <v>196</v>
      </c>
      <c r="D16" s="69">
        <v>280</v>
      </c>
      <c r="E16" s="69">
        <v>214</v>
      </c>
      <c r="F16" s="69">
        <v>162</v>
      </c>
      <c r="G16" s="69">
        <v>131</v>
      </c>
      <c r="I16" s="72"/>
      <c r="J16" s="73"/>
      <c r="L16" s="71">
        <v>9</v>
      </c>
      <c r="M16" s="69">
        <f t="shared" si="0"/>
        <v>495</v>
      </c>
      <c r="N16" s="69">
        <f t="shared" si="1"/>
        <v>1080</v>
      </c>
      <c r="P16" s="74" t="s">
        <v>206</v>
      </c>
    </row>
    <row r="17" spans="2:16" ht="16.5" x14ac:dyDescent="0.3">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2023-06-18T13:55:02Z</dcterms:modified>
</cp:coreProperties>
</file>