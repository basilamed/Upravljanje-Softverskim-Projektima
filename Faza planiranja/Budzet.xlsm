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3" codeName="{00000000-0000-0000-0000-000000000000}"/>
  <workbookPr filterPrivacy="1" showInkAnnotation="0" codeName="ThisWorkbook" defaultThemeVersion="124226"/>
  <xr:revisionPtr revIDLastSave="70" documentId="11_95CC40F7D373BBE2CE55B0B95F96C3AA7FDA4333" xr6:coauthVersionLast="47" xr6:coauthVersionMax="47" xr10:uidLastSave="{AE4E227E-91A0-4087-8693-AD03F8995355}"/>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firstSheet="2"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_xlnm.Print_Area" localSheetId="3">' 2-3-6. Travel&amp;Costs of Stay'!$A$1:$S$15</definedName>
    <definedName name="_xlnm.Print_Area" localSheetId="2">'1. Staff costs'!$A$1:$U$90</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PartnerN°">Overview!$B$27:$B$81</definedName>
    <definedName name="PartnerN°Ref">Overview!$B$27:$E$81</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costs'!$90:$1048576,'1.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91028"/>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9" i="40" l="1"/>
  <c r="D89" i="40"/>
  <c r="T89" i="40" s="1"/>
  <c r="E88" i="40"/>
  <c r="D88" i="40"/>
  <c r="T88" i="40" s="1"/>
  <c r="E87" i="40"/>
  <c r="D87" i="40"/>
  <c r="T87" i="40" s="1"/>
  <c r="E86" i="40"/>
  <c r="D86" i="40"/>
  <c r="T86" i="40" s="1"/>
  <c r="E85" i="40"/>
  <c r="D85" i="40"/>
  <c r="T85" i="40" s="1"/>
  <c r="E84" i="40"/>
  <c r="D84" i="40"/>
  <c r="T84" i="40" s="1"/>
  <c r="E83" i="40"/>
  <c r="D83" i="40"/>
  <c r="T83" i="40" s="1"/>
  <c r="E82" i="40"/>
  <c r="D82" i="40"/>
  <c r="T82" i="40" s="1"/>
  <c r="E81" i="40"/>
  <c r="D81" i="40"/>
  <c r="T81" i="40" s="1"/>
  <c r="E80" i="40"/>
  <c r="D80" i="40"/>
  <c r="T80" i="40" s="1"/>
  <c r="S80" i="40" s="1"/>
  <c r="E79" i="40"/>
  <c r="D79" i="40"/>
  <c r="T79" i="40" s="1"/>
  <c r="E78" i="40"/>
  <c r="D78" i="40"/>
  <c r="T78" i="40" s="1"/>
  <c r="E77" i="40"/>
  <c r="D77" i="40"/>
  <c r="T77" i="40" s="1"/>
  <c r="E76" i="40"/>
  <c r="D76" i="40"/>
  <c r="T76" i="40" s="1"/>
  <c r="E75" i="40"/>
  <c r="D75" i="40"/>
  <c r="T75" i="40" s="1"/>
  <c r="E74" i="40"/>
  <c r="D74" i="40"/>
  <c r="T74" i="40" s="1"/>
  <c r="E73" i="40"/>
  <c r="D73" i="40"/>
  <c r="T73" i="40" s="1"/>
  <c r="E72" i="40"/>
  <c r="D72" i="40"/>
  <c r="T72" i="40" s="1"/>
  <c r="E71" i="40"/>
  <c r="D71" i="40"/>
  <c r="E70" i="40"/>
  <c r="D70" i="40"/>
  <c r="T70" i="40" s="1"/>
  <c r="E69" i="40"/>
  <c r="D69" i="40"/>
  <c r="E68" i="40"/>
  <c r="D68" i="40"/>
  <c r="T68" i="40" s="1"/>
  <c r="E67" i="40"/>
  <c r="D67" i="40"/>
  <c r="E66" i="40"/>
  <c r="D66" i="40"/>
  <c r="T66" i="40" s="1"/>
  <c r="E65" i="40"/>
  <c r="D65" i="40"/>
  <c r="E64" i="40"/>
  <c r="D64" i="40"/>
  <c r="E63" i="40"/>
  <c r="D63" i="40"/>
  <c r="T63" i="40" s="1"/>
  <c r="E62" i="40"/>
  <c r="D62" i="40"/>
  <c r="T62" i="40" s="1"/>
  <c r="E61" i="40"/>
  <c r="D61" i="40"/>
  <c r="T61" i="40" s="1"/>
  <c r="E60" i="40"/>
  <c r="D60" i="40"/>
  <c r="T60" i="40" s="1"/>
  <c r="E59" i="40"/>
  <c r="D59" i="40"/>
  <c r="T59" i="40" s="1"/>
  <c r="E58" i="40"/>
  <c r="D58" i="40"/>
  <c r="T58" i="40" s="1"/>
  <c r="E57" i="40"/>
  <c r="D57" i="40"/>
  <c r="T57" i="40" s="1"/>
  <c r="E56" i="40"/>
  <c r="D56" i="40"/>
  <c r="T56" i="40" s="1"/>
  <c r="E55" i="40"/>
  <c r="D55" i="40"/>
  <c r="E54" i="40"/>
  <c r="D54" i="40"/>
  <c r="T54" i="40" s="1"/>
  <c r="E53" i="40"/>
  <c r="D53" i="40"/>
  <c r="T53" i="40" s="1"/>
  <c r="E52" i="40"/>
  <c r="D52" i="40"/>
  <c r="T52" i="40" s="1"/>
  <c r="E51" i="40"/>
  <c r="D51" i="40"/>
  <c r="E50" i="40"/>
  <c r="D50" i="40"/>
  <c r="T50" i="40" s="1"/>
  <c r="E49" i="40"/>
  <c r="D49" i="40"/>
  <c r="T49" i="40" s="1"/>
  <c r="E48" i="40"/>
  <c r="D48" i="40"/>
  <c r="T48" i="40" s="1"/>
  <c r="E47" i="40"/>
  <c r="D47" i="40"/>
  <c r="T47" i="40" s="1"/>
  <c r="E46" i="40"/>
  <c r="D46" i="40"/>
  <c r="T46" i="40" s="1"/>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D36" i="40"/>
  <c r="D35" i="40"/>
  <c r="D34" i="40"/>
  <c r="D33" i="40"/>
  <c r="D32" i="40"/>
  <c r="D31" i="40"/>
  <c r="D30" i="40"/>
  <c r="D29" i="40"/>
  <c r="D28" i="40"/>
  <c r="D27" i="40"/>
  <c r="D26" i="40"/>
  <c r="D25" i="40"/>
  <c r="D24" i="40"/>
  <c r="D23" i="40"/>
  <c r="D22" i="40"/>
  <c r="D21" i="40"/>
  <c r="D20" i="40"/>
  <c r="D19" i="40"/>
  <c r="D18" i="40"/>
  <c r="D17" i="40"/>
  <c r="D16" i="40"/>
  <c r="D15" i="40"/>
  <c r="J89" i="40" l="1"/>
  <c r="S89" i="40"/>
  <c r="H89" i="40"/>
  <c r="R89" i="40"/>
  <c r="G89" i="40"/>
  <c r="P89" i="40"/>
  <c r="Q89" i="40"/>
  <c r="N89" i="40"/>
  <c r="M89" i="40"/>
  <c r="K89" i="40"/>
  <c r="J88" i="40"/>
  <c r="S88" i="40"/>
  <c r="H88" i="40"/>
  <c r="R88" i="40"/>
  <c r="G88" i="40"/>
  <c r="Q88" i="40"/>
  <c r="N88" i="40"/>
  <c r="M88" i="40"/>
  <c r="K88" i="40"/>
  <c r="P88" i="40"/>
  <c r="J87" i="40"/>
  <c r="G87" i="40"/>
  <c r="S87" i="40"/>
  <c r="H87" i="40"/>
  <c r="R87" i="40"/>
  <c r="Q87" i="40"/>
  <c r="P87" i="40"/>
  <c r="N87" i="40"/>
  <c r="M87" i="40"/>
  <c r="K87" i="40"/>
  <c r="Q86" i="40"/>
  <c r="N86" i="40"/>
  <c r="H86" i="40"/>
  <c r="G86" i="40"/>
  <c r="M86" i="40"/>
  <c r="K86" i="40"/>
  <c r="J86" i="40"/>
  <c r="S86" i="40"/>
  <c r="R86" i="40"/>
  <c r="P86" i="40"/>
  <c r="J85" i="40"/>
  <c r="R85" i="40"/>
  <c r="G85" i="40"/>
  <c r="Q85" i="40"/>
  <c r="P85" i="40"/>
  <c r="S85" i="40"/>
  <c r="H85" i="40"/>
  <c r="N85" i="40"/>
  <c r="M85" i="40"/>
  <c r="K85" i="40"/>
  <c r="J84" i="40"/>
  <c r="S84" i="40"/>
  <c r="H84" i="40"/>
  <c r="R84" i="40"/>
  <c r="G84" i="40"/>
  <c r="Q84" i="40"/>
  <c r="P84" i="40"/>
  <c r="N84" i="40"/>
  <c r="M84" i="40"/>
  <c r="K84" i="40"/>
  <c r="J83" i="40"/>
  <c r="R83" i="40"/>
  <c r="S83" i="40"/>
  <c r="H83" i="40"/>
  <c r="G83" i="40"/>
  <c r="Q83" i="40"/>
  <c r="M83" i="40"/>
  <c r="K83" i="40"/>
  <c r="P83" i="40"/>
  <c r="N83" i="40"/>
  <c r="J82" i="40"/>
  <c r="G82" i="40"/>
  <c r="S82" i="40"/>
  <c r="H82" i="40"/>
  <c r="R82" i="40"/>
  <c r="P82" i="40"/>
  <c r="Q82" i="40"/>
  <c r="N82" i="40"/>
  <c r="M82" i="40"/>
  <c r="K82" i="40"/>
  <c r="J81" i="40"/>
  <c r="G81" i="40"/>
  <c r="S81" i="40"/>
  <c r="H81" i="40"/>
  <c r="R81" i="40"/>
  <c r="Q81" i="40"/>
  <c r="N81" i="40"/>
  <c r="M81" i="40"/>
  <c r="K81" i="40"/>
  <c r="P81" i="40"/>
  <c r="J80" i="40"/>
  <c r="P80" i="40"/>
  <c r="K80" i="40"/>
  <c r="M80" i="40"/>
  <c r="N80" i="40"/>
  <c r="Q80" i="40"/>
  <c r="G80" i="40"/>
  <c r="R80" i="40"/>
  <c r="H80" i="40"/>
  <c r="J79" i="40"/>
  <c r="S79" i="40"/>
  <c r="H79" i="40"/>
  <c r="R79" i="40"/>
  <c r="G79" i="40"/>
  <c r="Q79" i="40"/>
  <c r="P79" i="40"/>
  <c r="N79" i="40"/>
  <c r="M79" i="40"/>
  <c r="K79" i="40"/>
  <c r="J78" i="40"/>
  <c r="R78" i="40"/>
  <c r="G78" i="40"/>
  <c r="Q78" i="40"/>
  <c r="S78" i="40"/>
  <c r="H78" i="40"/>
  <c r="P78" i="40"/>
  <c r="N78" i="40"/>
  <c r="M78" i="40"/>
  <c r="K78" i="40"/>
  <c r="J77" i="40"/>
  <c r="S77" i="40"/>
  <c r="H77" i="40"/>
  <c r="R77" i="40"/>
  <c r="G77" i="40"/>
  <c r="Q77" i="40"/>
  <c r="N77" i="40"/>
  <c r="P77" i="40"/>
  <c r="M77" i="40"/>
  <c r="K77" i="40"/>
  <c r="J76" i="40"/>
  <c r="G76" i="40"/>
  <c r="S76" i="40"/>
  <c r="H76" i="40"/>
  <c r="R76" i="40"/>
  <c r="P76" i="40"/>
  <c r="N76" i="40"/>
  <c r="M76" i="40"/>
  <c r="K76" i="40"/>
  <c r="Q76" i="40"/>
  <c r="J75" i="40"/>
  <c r="G75" i="40"/>
  <c r="Q75" i="40"/>
  <c r="P75" i="40"/>
  <c r="N75" i="40"/>
  <c r="S75" i="40"/>
  <c r="H75" i="40"/>
  <c r="R75" i="40"/>
  <c r="M75" i="40"/>
  <c r="K75" i="40"/>
  <c r="J74" i="40"/>
  <c r="G74" i="40"/>
  <c r="Q74" i="40"/>
  <c r="P74" i="40"/>
  <c r="N74" i="40"/>
  <c r="S74" i="40"/>
  <c r="H74" i="40"/>
  <c r="R74" i="40"/>
  <c r="M74" i="40"/>
  <c r="K74" i="40"/>
  <c r="J73" i="40"/>
  <c r="N73" i="40"/>
  <c r="M73" i="40"/>
  <c r="K73" i="40"/>
  <c r="S73" i="40"/>
  <c r="H73" i="40"/>
  <c r="R73" i="40"/>
  <c r="G73" i="40"/>
  <c r="Q73" i="40"/>
  <c r="P73" i="40"/>
  <c r="J72" i="40"/>
  <c r="G72" i="40"/>
  <c r="S72" i="40"/>
  <c r="H72" i="40"/>
  <c r="R72" i="40"/>
  <c r="Q72" i="40"/>
  <c r="P72" i="40"/>
  <c r="N72" i="40"/>
  <c r="M72" i="40"/>
  <c r="K72" i="40"/>
  <c r="T71" i="40"/>
  <c r="J71" i="40" s="1"/>
  <c r="J70" i="40"/>
  <c r="G70" i="40"/>
  <c r="S70" i="40"/>
  <c r="H70" i="40"/>
  <c r="R70" i="40"/>
  <c r="Q70" i="40"/>
  <c r="N70" i="40"/>
  <c r="P70" i="40"/>
  <c r="M70" i="40"/>
  <c r="K70" i="40"/>
  <c r="T69" i="40"/>
  <c r="J69" i="40" s="1"/>
  <c r="S68" i="40"/>
  <c r="H68" i="40"/>
  <c r="R68" i="40"/>
  <c r="G68" i="40"/>
  <c r="P68" i="40"/>
  <c r="Q68" i="40"/>
  <c r="M68" i="40"/>
  <c r="K68" i="40"/>
  <c r="J68" i="40"/>
  <c r="N68" i="40"/>
  <c r="T67" i="40"/>
  <c r="R67" i="40" s="1"/>
  <c r="J66" i="40"/>
  <c r="S66" i="40"/>
  <c r="H66" i="40"/>
  <c r="R66" i="40"/>
  <c r="G66" i="40"/>
  <c r="Q66" i="40"/>
  <c r="N66" i="40"/>
  <c r="M66" i="40"/>
  <c r="K66" i="40"/>
  <c r="P66" i="40"/>
  <c r="T65" i="40"/>
  <c r="J65" i="40" s="1"/>
  <c r="T64" i="40"/>
  <c r="S64" i="40" s="1"/>
  <c r="J63" i="40"/>
  <c r="R63" i="40"/>
  <c r="G63" i="40"/>
  <c r="N63" i="40"/>
  <c r="S63" i="40"/>
  <c r="H63" i="40"/>
  <c r="M63" i="40"/>
  <c r="K63" i="40"/>
  <c r="Q63" i="40"/>
  <c r="P63" i="40"/>
  <c r="J62" i="40"/>
  <c r="G62" i="40"/>
  <c r="S62" i="40"/>
  <c r="H62" i="40"/>
  <c r="R62" i="40"/>
  <c r="Q62" i="40"/>
  <c r="M62" i="40"/>
  <c r="K62" i="40"/>
  <c r="P62" i="40"/>
  <c r="N62" i="40"/>
  <c r="J61" i="40"/>
  <c r="R61" i="40"/>
  <c r="Q61" i="40"/>
  <c r="S61" i="40"/>
  <c r="H61" i="40"/>
  <c r="G61" i="40"/>
  <c r="M61" i="40"/>
  <c r="K61" i="40"/>
  <c r="P61" i="40"/>
  <c r="N61" i="40"/>
  <c r="R60" i="40"/>
  <c r="G60" i="40"/>
  <c r="H60" i="40" s="1"/>
  <c r="J60" i="40"/>
  <c r="M60" i="40"/>
  <c r="P60" i="40"/>
  <c r="Q60" i="40" s="1"/>
  <c r="N60" i="40"/>
  <c r="K60" i="40"/>
  <c r="J59" i="40"/>
  <c r="G59" i="40"/>
  <c r="P59" i="40"/>
  <c r="Q59" i="40" s="1"/>
  <c r="H59" i="40"/>
  <c r="R59" i="40"/>
  <c r="M59" i="40"/>
  <c r="N59" i="40" s="1"/>
  <c r="K59" i="40"/>
  <c r="R58" i="40"/>
  <c r="G58" i="40"/>
  <c r="H58" i="40" s="1"/>
  <c r="M58" i="40"/>
  <c r="N58" i="40" s="1"/>
  <c r="J58" i="40"/>
  <c r="K58" i="40" s="1"/>
  <c r="P58" i="40"/>
  <c r="Q58" i="40" s="1"/>
  <c r="J57" i="40"/>
  <c r="P57" i="40"/>
  <c r="K57" i="40"/>
  <c r="M57" i="40"/>
  <c r="N57" i="40"/>
  <c r="Q57" i="40"/>
  <c r="G57" i="40"/>
  <c r="R57" i="40"/>
  <c r="H57" i="40"/>
  <c r="S57" i="40" s="1"/>
  <c r="J56" i="40"/>
  <c r="G56" i="40"/>
  <c r="H56" i="40"/>
  <c r="R56" i="40"/>
  <c r="P56" i="40"/>
  <c r="Q56" i="40" s="1"/>
  <c r="M56" i="40"/>
  <c r="N56" i="40" s="1"/>
  <c r="K56" i="40"/>
  <c r="T55" i="40"/>
  <c r="J54" i="40"/>
  <c r="G54" i="40"/>
  <c r="H54" i="40"/>
  <c r="R54" i="40"/>
  <c r="P54" i="40"/>
  <c r="Q54" i="40" s="1"/>
  <c r="M54" i="40"/>
  <c r="N54" i="40" s="1"/>
  <c r="K54" i="40"/>
  <c r="R53" i="40"/>
  <c r="G53" i="40"/>
  <c r="H53" i="40" s="1"/>
  <c r="P53" i="40"/>
  <c r="Q53" i="40" s="1"/>
  <c r="M53" i="40"/>
  <c r="N53" i="40" s="1"/>
  <c r="J53" i="40"/>
  <c r="K53" i="40" s="1"/>
  <c r="J52" i="40"/>
  <c r="G52" i="40"/>
  <c r="H52" i="40"/>
  <c r="R52" i="40"/>
  <c r="P52" i="40"/>
  <c r="Q52" i="40" s="1"/>
  <c r="M52" i="40"/>
  <c r="K52" i="40"/>
  <c r="N52" i="40"/>
  <c r="T51" i="40"/>
  <c r="J51" i="40" s="1"/>
  <c r="J50" i="40"/>
  <c r="G50" i="40"/>
  <c r="H50" i="40" s="1"/>
  <c r="P50" i="40"/>
  <c r="Q50" i="40" s="1"/>
  <c r="M50" i="40"/>
  <c r="N50" i="40" s="1"/>
  <c r="K50" i="40"/>
  <c r="R50" i="40"/>
  <c r="J49" i="40"/>
  <c r="G49" i="40"/>
  <c r="H49" i="40"/>
  <c r="R49" i="40"/>
  <c r="M49" i="40"/>
  <c r="K49" i="40"/>
  <c r="P49" i="40"/>
  <c r="Q49" i="40" s="1"/>
  <c r="N49" i="40"/>
  <c r="J48" i="40"/>
  <c r="G48" i="40"/>
  <c r="H48" i="40"/>
  <c r="R48" i="40"/>
  <c r="M48" i="40"/>
  <c r="K48" i="40"/>
  <c r="P48" i="40"/>
  <c r="Q48" i="40" s="1"/>
  <c r="N48" i="40"/>
  <c r="J47" i="40"/>
  <c r="R47" i="40"/>
  <c r="M47" i="40"/>
  <c r="N47" i="40" s="1"/>
  <c r="K47" i="40"/>
  <c r="G47" i="40"/>
  <c r="H47" i="40" s="1"/>
  <c r="P47" i="40"/>
  <c r="Q47" i="40" s="1"/>
  <c r="J46" i="40"/>
  <c r="R46" i="40"/>
  <c r="G46" i="40"/>
  <c r="H46" i="40" s="1"/>
  <c r="M46" i="40"/>
  <c r="N46" i="40" s="1"/>
  <c r="K46" i="40"/>
  <c r="P46" i="40"/>
  <c r="Q46" i="40" s="1"/>
  <c r="J45" i="40"/>
  <c r="G45" i="40"/>
  <c r="H45" i="40"/>
  <c r="R45" i="40"/>
  <c r="M45" i="40"/>
  <c r="K45" i="40"/>
  <c r="P45" i="40"/>
  <c r="Q45" i="40" s="1"/>
  <c r="N45" i="40"/>
  <c r="R44" i="40"/>
  <c r="G44" i="40"/>
  <c r="H44" i="40" s="1"/>
  <c r="M44" i="40"/>
  <c r="N44" i="40" s="1"/>
  <c r="J44" i="40"/>
  <c r="K44" i="40" s="1"/>
  <c r="P44" i="40"/>
  <c r="Q44" i="40" s="1"/>
  <c r="J43" i="40"/>
  <c r="R43" i="40"/>
  <c r="G43" i="40"/>
  <c r="H43" i="40" s="1"/>
  <c r="M43" i="40"/>
  <c r="N43" i="40" s="1"/>
  <c r="K43" i="40"/>
  <c r="P43" i="40"/>
  <c r="Q43" i="40" s="1"/>
  <c r="J42" i="40"/>
  <c r="G42" i="40"/>
  <c r="H42" i="40"/>
  <c r="R42" i="40"/>
  <c r="M42" i="40"/>
  <c r="K42" i="40"/>
  <c r="P42" i="40"/>
  <c r="Q42" i="40" s="1"/>
  <c r="N42" i="40"/>
  <c r="J41" i="40"/>
  <c r="G41" i="40"/>
  <c r="H41" i="40"/>
  <c r="R41" i="40"/>
  <c r="P41" i="40"/>
  <c r="Q41" i="40" s="1"/>
  <c r="M41" i="40"/>
  <c r="N41" i="40" s="1"/>
  <c r="K41" i="40"/>
  <c r="J40" i="40"/>
  <c r="R40" i="40"/>
  <c r="G40" i="40"/>
  <c r="H40" i="40"/>
  <c r="P40" i="40"/>
  <c r="Q40" i="40" s="1"/>
  <c r="M40" i="40"/>
  <c r="N40" i="40" s="1"/>
  <c r="K40" i="40"/>
  <c r="J39" i="40"/>
  <c r="G39" i="40"/>
  <c r="P39" i="40"/>
  <c r="Q39" i="40" s="1"/>
  <c r="H39" i="40"/>
  <c r="R39" i="40"/>
  <c r="M39" i="40"/>
  <c r="K39" i="40"/>
  <c r="N39" i="40"/>
  <c r="J38" i="40"/>
  <c r="R38" i="40"/>
  <c r="G38" i="40"/>
  <c r="H38" i="40" s="1"/>
  <c r="P38" i="40"/>
  <c r="Q38" i="40" s="1"/>
  <c r="M38" i="40"/>
  <c r="K38" i="40"/>
  <c r="N38" i="40"/>
  <c r="J37" i="40"/>
  <c r="R37" i="40"/>
  <c r="G37" i="40"/>
  <c r="H37" i="40"/>
  <c r="M37" i="40"/>
  <c r="N37" i="40" s="1"/>
  <c r="K37" i="40"/>
  <c r="P37" i="40"/>
  <c r="Q37" i="40" s="1"/>
  <c r="N13" i="39"/>
  <c r="N14" i="39"/>
  <c r="S60" i="40" l="1"/>
  <c r="S59" i="40"/>
  <c r="S58" i="40"/>
  <c r="S56" i="40"/>
  <c r="S54" i="40"/>
  <c r="S53" i="40"/>
  <c r="S52" i="40"/>
  <c r="S50" i="40"/>
  <c r="S49" i="40"/>
  <c r="S48" i="40"/>
  <c r="S47" i="40"/>
  <c r="S46" i="40"/>
  <c r="S45" i="40"/>
  <c r="S44" i="40"/>
  <c r="S43" i="40"/>
  <c r="S42" i="40"/>
  <c r="S41" i="40"/>
  <c r="S40" i="40"/>
  <c r="S39" i="40"/>
  <c r="S38" i="40"/>
  <c r="S37" i="40"/>
  <c r="H71" i="40"/>
  <c r="N71" i="40"/>
  <c r="G71" i="40"/>
  <c r="R71" i="40"/>
  <c r="Q71" i="40"/>
  <c r="S71" i="40"/>
  <c r="K71" i="40"/>
  <c r="P71" i="40"/>
  <c r="M71" i="40"/>
  <c r="S69" i="40"/>
  <c r="K69" i="40"/>
  <c r="M69" i="40"/>
  <c r="R69" i="40"/>
  <c r="H69" i="40"/>
  <c r="Q69" i="40"/>
  <c r="N69" i="40"/>
  <c r="G69" i="40"/>
  <c r="P69" i="40"/>
  <c r="H67" i="40"/>
  <c r="S67" i="40"/>
  <c r="K67" i="40"/>
  <c r="M67" i="40"/>
  <c r="N67" i="40"/>
  <c r="Q67" i="40"/>
  <c r="P67" i="40"/>
  <c r="G67" i="40"/>
  <c r="J67" i="40"/>
  <c r="Q65" i="40"/>
  <c r="R65" i="40"/>
  <c r="H65" i="40"/>
  <c r="S65" i="40"/>
  <c r="N65" i="40"/>
  <c r="G65" i="40"/>
  <c r="K65" i="40"/>
  <c r="M65" i="40"/>
  <c r="P65" i="40"/>
  <c r="N64" i="40"/>
  <c r="K64" i="40"/>
  <c r="M64" i="40"/>
  <c r="Q64" i="40"/>
  <c r="G64" i="40"/>
  <c r="R64" i="40"/>
  <c r="P64" i="40"/>
  <c r="H64" i="40"/>
  <c r="J64" i="40"/>
  <c r="P55" i="40"/>
  <c r="G55" i="40"/>
  <c r="M55" i="40"/>
  <c r="N55" i="40" s="1"/>
  <c r="R55" i="40"/>
  <c r="Q55" i="40"/>
  <c r="H55" i="40"/>
  <c r="J55" i="40"/>
  <c r="K55" i="40" s="1"/>
  <c r="M51" i="40"/>
  <c r="P51" i="40"/>
  <c r="Q51" i="40"/>
  <c r="G51" i="40"/>
  <c r="R51" i="40"/>
  <c r="N51" i="40"/>
  <c r="H51" i="40"/>
  <c r="K51"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55" i="40" l="1"/>
  <c r="S51" i="40"/>
  <c r="G28" i="4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4" i="40" s="1"/>
  <c r="T34" i="40" s="1"/>
  <c r="E31" i="41"/>
  <c r="E24" i="40" s="1"/>
  <c r="T24" i="40" s="1"/>
  <c r="E32" i="41"/>
  <c r="E25" i="40" s="1"/>
  <c r="T25" i="40" s="1"/>
  <c r="E33" i="41"/>
  <c r="E34" i="41"/>
  <c r="E35" i="41"/>
  <c r="E36" i="41"/>
  <c r="E36" i="40" s="1"/>
  <c r="T36" i="40" s="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E35" i="40" l="1"/>
  <c r="T35" i="40" s="1"/>
  <c r="E23" i="40"/>
  <c r="T23" i="40" s="1"/>
  <c r="E28" i="40"/>
  <c r="T28" i="40" s="1"/>
  <c r="E17" i="40"/>
  <c r="T17" i="40" s="1"/>
  <c r="E32" i="40"/>
  <c r="T32" i="40" s="1"/>
  <c r="E21" i="40"/>
  <c r="T21" i="40" s="1"/>
  <c r="E29" i="40"/>
  <c r="T29" i="40" s="1"/>
  <c r="E18" i="40"/>
  <c r="T18" i="40" s="1"/>
  <c r="J36" i="40"/>
  <c r="K36" i="40" s="1"/>
  <c r="P36" i="40"/>
  <c r="Q36" i="40" s="1"/>
  <c r="R36" i="40"/>
  <c r="G36" i="40"/>
  <c r="H36" i="40" s="1"/>
  <c r="M36" i="40"/>
  <c r="N36" i="40" s="1"/>
  <c r="S36" i="40"/>
  <c r="E30" i="40"/>
  <c r="T30" i="40" s="1"/>
  <c r="E19" i="40"/>
  <c r="T19" i="40" s="1"/>
  <c r="E27" i="40"/>
  <c r="T27" i="40" s="1"/>
  <c r="E16" i="40"/>
  <c r="T16" i="40" s="1"/>
  <c r="E26" i="40"/>
  <c r="T26" i="40" s="1"/>
  <c r="E15" i="40"/>
  <c r="T15" i="40" s="1"/>
  <c r="J25" i="40"/>
  <c r="K25" i="40" s="1"/>
  <c r="G25" i="40"/>
  <c r="H25" i="40" s="1"/>
  <c r="R25" i="40"/>
  <c r="P25" i="40"/>
  <c r="Q25" i="40" s="1"/>
  <c r="M25" i="40"/>
  <c r="N25" i="40"/>
  <c r="J24" i="40"/>
  <c r="K24" i="40" s="1"/>
  <c r="R24" i="40"/>
  <c r="G24" i="40"/>
  <c r="H24" i="40" s="1"/>
  <c r="M24" i="40"/>
  <c r="N24" i="40" s="1"/>
  <c r="P24" i="40"/>
  <c r="Q24" i="40" s="1"/>
  <c r="S24" i="40"/>
  <c r="J34" i="40"/>
  <c r="K34" i="40" s="1"/>
  <c r="M34" i="40"/>
  <c r="N34" i="40" s="1"/>
  <c r="G34" i="40"/>
  <c r="R34" i="40"/>
  <c r="P34" i="40"/>
  <c r="H34" i="40"/>
  <c r="Q34" i="40"/>
  <c r="S34" i="40"/>
  <c r="E33" i="40"/>
  <c r="T33" i="40" s="1"/>
  <c r="E22" i="40"/>
  <c r="T22" i="40" s="1"/>
  <c r="E31" i="40"/>
  <c r="T31" i="40" s="1"/>
  <c r="E20" i="40"/>
  <c r="T20" i="40" s="1"/>
  <c r="R13" i="39"/>
  <c r="P13" i="39" s="1"/>
  <c r="T14" i="40"/>
  <c r="M14" i="40" s="1"/>
  <c r="N14" i="40" s="1"/>
  <c r="H16" i="55"/>
  <c r="J13" i="71"/>
  <c r="I13" i="71" s="1"/>
  <c r="I13" i="26"/>
  <c r="I13" i="70"/>
  <c r="F8" i="55"/>
  <c r="I14" i="26"/>
  <c r="H14" i="26" s="1"/>
  <c r="I14" i="70"/>
  <c r="H14" i="70" s="1"/>
  <c r="G5" i="55" s="1"/>
  <c r="G10" i="55" s="1"/>
  <c r="J14" i="71"/>
  <c r="T13" i="40"/>
  <c r="J20" i="40" l="1"/>
  <c r="K20" i="40" s="1"/>
  <c r="R20" i="40"/>
  <c r="G20" i="40"/>
  <c r="H20" i="40" s="1"/>
  <c r="P20" i="40"/>
  <c r="Q20" i="40" s="1"/>
  <c r="M20" i="40"/>
  <c r="N20" i="40" s="1"/>
  <c r="S20" i="40"/>
  <c r="J31" i="40"/>
  <c r="K31" i="40" s="1"/>
  <c r="R31" i="40"/>
  <c r="G31" i="40"/>
  <c r="H31" i="40" s="1"/>
  <c r="M31" i="40"/>
  <c r="N31" i="40" s="1"/>
  <c r="P31" i="40"/>
  <c r="Q31" i="40" s="1"/>
  <c r="S31" i="40"/>
  <c r="J22" i="40"/>
  <c r="K22" i="40" s="1"/>
  <c r="G22" i="40"/>
  <c r="H22" i="40" s="1"/>
  <c r="P22" i="40"/>
  <c r="Q22" i="40" s="1"/>
  <c r="M22" i="40"/>
  <c r="N22" i="40" s="1"/>
  <c r="R22" i="40"/>
  <c r="S22" i="40"/>
  <c r="J33" i="40"/>
  <c r="K33" i="40" s="1"/>
  <c r="G33" i="40"/>
  <c r="H33" i="40" s="1"/>
  <c r="M33" i="40"/>
  <c r="N33" i="40" s="1"/>
  <c r="R33" i="40"/>
  <c r="P33" i="40"/>
  <c r="Q33" i="40" s="1"/>
  <c r="S25" i="40"/>
  <c r="R15" i="40"/>
  <c r="G15" i="40"/>
  <c r="H15" i="40" s="1"/>
  <c r="M15" i="40"/>
  <c r="N15" i="40" s="1"/>
  <c r="J15" i="40"/>
  <c r="K15" i="40" s="1"/>
  <c r="P15" i="40"/>
  <c r="Q15" i="40" s="1"/>
  <c r="S15" i="40"/>
  <c r="J26" i="40"/>
  <c r="R26" i="40"/>
  <c r="G26" i="40"/>
  <c r="H26" i="40" s="1"/>
  <c r="M26" i="40"/>
  <c r="N26" i="40" s="1"/>
  <c r="K26" i="40"/>
  <c r="P26" i="40"/>
  <c r="Q26" i="40" s="1"/>
  <c r="S26" i="40"/>
  <c r="J16" i="40"/>
  <c r="K16" i="40" s="1"/>
  <c r="R16" i="40"/>
  <c r="G16" i="40"/>
  <c r="H16" i="40" s="1"/>
  <c r="P16" i="40"/>
  <c r="Q16" i="40" s="1"/>
  <c r="M16" i="40"/>
  <c r="N16" i="40" s="1"/>
  <c r="S16" i="40"/>
  <c r="J27" i="40"/>
  <c r="P27" i="40"/>
  <c r="K27" i="40"/>
  <c r="M27" i="40"/>
  <c r="N27" i="40" s="1"/>
  <c r="R27" i="40"/>
  <c r="G27" i="40"/>
  <c r="H27" i="40" s="1"/>
  <c r="Q27" i="40"/>
  <c r="J19" i="40"/>
  <c r="M19" i="40"/>
  <c r="N19" i="40" s="1"/>
  <c r="K19" i="40"/>
  <c r="R19" i="40"/>
  <c r="G19" i="40"/>
  <c r="H19" i="40" s="1"/>
  <c r="P19" i="40"/>
  <c r="Q19" i="40" s="1"/>
  <c r="S19" i="40"/>
  <c r="J30" i="40"/>
  <c r="R30" i="40"/>
  <c r="G30" i="40"/>
  <c r="H30" i="40" s="1"/>
  <c r="P30" i="40"/>
  <c r="Q30" i="40" s="1"/>
  <c r="M30" i="40"/>
  <c r="N30" i="40" s="1"/>
  <c r="K30" i="40"/>
  <c r="S30" i="40"/>
  <c r="J18" i="40"/>
  <c r="K18" i="40" s="1"/>
  <c r="M18" i="40"/>
  <c r="N18" i="40" s="1"/>
  <c r="R18" i="40"/>
  <c r="G18" i="40"/>
  <c r="H18" i="40" s="1"/>
  <c r="P18" i="40"/>
  <c r="Q18" i="40" s="1"/>
  <c r="S18" i="40"/>
  <c r="J29" i="40"/>
  <c r="K29" i="40" s="1"/>
  <c r="R29" i="40"/>
  <c r="G29" i="40"/>
  <c r="H29" i="40" s="1"/>
  <c r="M29" i="40"/>
  <c r="P29" i="40"/>
  <c r="Q29" i="40" s="1"/>
  <c r="N29" i="40"/>
  <c r="S29" i="40"/>
  <c r="R21" i="40"/>
  <c r="G21" i="40"/>
  <c r="H21" i="40" s="1"/>
  <c r="P21" i="40"/>
  <c r="Q21" i="40" s="1"/>
  <c r="M21" i="40"/>
  <c r="N21" i="40" s="1"/>
  <c r="J21" i="40"/>
  <c r="K21" i="40" s="1"/>
  <c r="J32" i="40"/>
  <c r="G32" i="40"/>
  <c r="H32" i="40"/>
  <c r="R32" i="40"/>
  <c r="P32" i="40"/>
  <c r="Q32" i="40" s="1"/>
  <c r="M32" i="40"/>
  <c r="N32" i="40" s="1"/>
  <c r="K32" i="40"/>
  <c r="J17" i="40"/>
  <c r="K17" i="40" s="1"/>
  <c r="M17" i="40"/>
  <c r="N17" i="40"/>
  <c r="P17" i="40"/>
  <c r="Q17" i="40" s="1"/>
  <c r="G17" i="40"/>
  <c r="H17" i="40" s="1"/>
  <c r="R17" i="40"/>
  <c r="S17" i="40"/>
  <c r="J28" i="40"/>
  <c r="K28" i="40" s="1"/>
  <c r="R28" i="40"/>
  <c r="G28" i="40"/>
  <c r="H28" i="40" s="1"/>
  <c r="P28" i="40"/>
  <c r="Q28" i="40" s="1"/>
  <c r="M28" i="40"/>
  <c r="N28" i="40" s="1"/>
  <c r="S28" i="40"/>
  <c r="J23" i="40"/>
  <c r="K23" i="40" s="1"/>
  <c r="R23" i="40"/>
  <c r="P23" i="40"/>
  <c r="Q23" i="40" s="1"/>
  <c r="G23" i="40"/>
  <c r="H23" i="40" s="1"/>
  <c r="M23" i="40"/>
  <c r="N23" i="40" s="1"/>
  <c r="J35" i="40"/>
  <c r="G35" i="40"/>
  <c r="H35" i="40" s="1"/>
  <c r="P35" i="40"/>
  <c r="Q35" i="40" s="1"/>
  <c r="R35" i="40"/>
  <c r="M35" i="40"/>
  <c r="K35" i="40"/>
  <c r="N35" i="40"/>
  <c r="S35" i="40"/>
  <c r="I17" i="41"/>
  <c r="J14" i="40"/>
  <c r="K14" i="40" s="1"/>
  <c r="R14" i="40"/>
  <c r="P14" i="40"/>
  <c r="Q14" i="40" s="1"/>
  <c r="G14" i="40"/>
  <c r="H14" i="40" s="1"/>
  <c r="O13" i="39"/>
  <c r="Q13" i="39" s="1"/>
  <c r="I20" i="41"/>
  <c r="I21" i="41"/>
  <c r="I23" i="41"/>
  <c r="I14" i="71"/>
  <c r="C4" i="71" s="1"/>
  <c r="C9" i="55"/>
  <c r="C8" i="55"/>
  <c r="F40" i="41"/>
  <c r="F36" i="41"/>
  <c r="F39" i="41"/>
  <c r="F31" i="41"/>
  <c r="F30" i="41"/>
  <c r="F37" i="41"/>
  <c r="F35" i="41"/>
  <c r="F33" i="41"/>
  <c r="H13" i="26"/>
  <c r="C4" i="26" s="1"/>
  <c r="B4" i="74"/>
  <c r="B6" i="74"/>
  <c r="H13" i="70"/>
  <c r="C4" i="70" s="1"/>
  <c r="J48" i="41" s="1"/>
  <c r="B5" i="74"/>
  <c r="B2" i="74"/>
  <c r="F5" i="55"/>
  <c r="F6" i="55"/>
  <c r="F4" i="39"/>
  <c r="S14" i="40"/>
  <c r="E7" i="40"/>
  <c r="R13" i="40"/>
  <c r="E6" i="40"/>
  <c r="N13" i="40"/>
  <c r="D7" i="40" s="1"/>
  <c r="H13" i="40"/>
  <c r="M13" i="40"/>
  <c r="G13" i="40"/>
  <c r="E5" i="40"/>
  <c r="Q13" i="40"/>
  <c r="J13" i="40"/>
  <c r="E8" i="40"/>
  <c r="K13" i="40"/>
  <c r="P13" i="40"/>
  <c r="S13" i="40"/>
  <c r="C7" i="55" s="1"/>
  <c r="F32" i="41" l="1"/>
  <c r="S23" i="40"/>
  <c r="S32" i="40"/>
  <c r="S21" i="40"/>
  <c r="F38" i="41" s="1"/>
  <c r="S27" i="40"/>
  <c r="S33" i="40"/>
  <c r="D6" i="40"/>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L38" i="41" s="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L37" i="41" s="1"/>
  <c r="I58" i="41"/>
  <c r="D20" i="41"/>
  <c r="I81" i="41"/>
  <c r="I70" i="41"/>
  <c r="I71" i="41"/>
  <c r="I39" i="41"/>
  <c r="L39" i="41" s="1"/>
  <c r="I60" i="41"/>
  <c r="I28" i="41"/>
  <c r="J78" i="41"/>
  <c r="J62" i="41"/>
  <c r="J46" i="41"/>
  <c r="J30" i="41"/>
  <c r="J80" i="41"/>
  <c r="J67" i="41"/>
  <c r="F27" i="41"/>
  <c r="F28" i="41"/>
  <c r="C5" i="55"/>
  <c r="E9" i="40"/>
  <c r="D9" i="40"/>
  <c r="D17" i="41" s="1"/>
  <c r="L32" i="41" l="1"/>
  <c r="L33" i="41"/>
  <c r="L36" i="41"/>
  <c r="L35" i="41"/>
  <c r="L30" i="41"/>
  <c r="F34" i="41"/>
  <c r="L34" i="41" s="1"/>
  <c r="C6" i="55"/>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<sst xmlns="http://schemas.openxmlformats.org/spreadsheetml/2006/main" count="784" uniqueCount="373">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</sst>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8">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6">
    <cellStyle name="Hiperveza" xfId="2" builtinId="8"/>
    <cellStyle name="Hyperlink 2" xfId="4" xr:uid="{00000000-0005-0000-0000-000002000000}"/>
    <cellStyle name="Normal 2" xfId="3" xr:uid="{00000000-0005-0000-0000-000004000000}"/>
    <cellStyle name="Normalan" xfId="0" builtinId="0"/>
    <cellStyle name="Procenat" xfId="5" builtinId="5"/>
    <cellStyle name="Zarez" xfId="1" builtinId="3"/>
  </cellStyles>
  <dxfs count="37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24" zoomScale="70" zoomScaleNormal="70" zoomScaleSheetLayoutView="85" workbookViewId="0">
      <selection activeCell="D31" sqref="D31"/>
    </sheetView>
  </sheetViews>
  <sheetFormatPr defaultColWidth="9.140625" defaultRowHeight="18"/>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c r="G1" s="3"/>
      <c r="H1" s="3"/>
      <c r="I1" s="3"/>
      <c r="J1" s="3"/>
      <c r="K1" s="3"/>
      <c r="L1" s="3"/>
    </row>
    <row r="2" spans="2:12">
      <c r="B2" s="4"/>
      <c r="C2" s="4"/>
      <c r="D2" s="4"/>
      <c r="E2" s="4"/>
      <c r="F2" s="4"/>
      <c r="G2" s="3"/>
      <c r="H2" s="3"/>
      <c r="I2" s="3"/>
      <c r="J2" s="3"/>
      <c r="K2" s="3"/>
      <c r="L2" s="3"/>
    </row>
    <row r="3" spans="2:12">
      <c r="B3" s="4"/>
      <c r="C3" s="4"/>
      <c r="D3" s="5" t="s">
        <v>0</v>
      </c>
      <c r="E3" s="6"/>
      <c r="F3" s="4"/>
      <c r="G3" s="3"/>
      <c r="H3" s="3"/>
      <c r="I3" s="3"/>
      <c r="J3" s="3"/>
      <c r="K3" s="3"/>
      <c r="L3" s="3"/>
    </row>
    <row r="4" spans="2:12" ht="20.100000000000001" customHeight="1">
      <c r="B4" s="4"/>
      <c r="C4" s="1"/>
      <c r="D4" s="5" t="s">
        <v>1</v>
      </c>
      <c r="E4" s="6"/>
      <c r="F4" s="6"/>
      <c r="G4" s="6"/>
      <c r="H4" s="6"/>
      <c r="I4" s="6"/>
      <c r="J4" s="6"/>
      <c r="K4" s="6"/>
      <c r="L4" s="6"/>
    </row>
    <row r="5" spans="2:12" ht="20.100000000000001" customHeight="1">
      <c r="B5" s="4"/>
      <c r="C5" s="1"/>
      <c r="D5" s="6"/>
      <c r="E5" s="6"/>
      <c r="F5" s="6"/>
      <c r="G5" s="6"/>
      <c r="H5" s="6"/>
      <c r="I5" s="6"/>
      <c r="J5" s="6"/>
      <c r="K5" s="6"/>
      <c r="L5" s="6"/>
    </row>
    <row r="6" spans="2:12" ht="9.9499999999999993" customHeight="1">
      <c r="B6" s="7"/>
      <c r="C6" s="7"/>
      <c r="D6" s="4"/>
      <c r="E6" s="4"/>
      <c r="F6" s="4"/>
      <c r="G6" s="4"/>
      <c r="H6" s="4"/>
      <c r="I6" s="4"/>
      <c r="J6" s="4"/>
      <c r="K6" s="4"/>
    </row>
    <row r="7" spans="2:12" ht="24.95" customHeight="1">
      <c r="B7" s="105" t="s">
        <v>2</v>
      </c>
      <c r="C7" s="105"/>
      <c r="D7" s="105"/>
      <c r="E7" s="105"/>
      <c r="F7" s="105"/>
      <c r="G7" s="105"/>
      <c r="H7" s="105"/>
      <c r="I7" s="105"/>
      <c r="J7" s="105"/>
      <c r="K7" s="105"/>
      <c r="L7" s="105"/>
    </row>
    <row r="8" spans="2:12" ht="24.95" customHeight="1">
      <c r="B8" s="106" t="s">
        <v>3</v>
      </c>
      <c r="C8" s="106"/>
      <c r="D8" s="106"/>
      <c r="E8" s="106"/>
      <c r="F8" s="106"/>
      <c r="G8" s="106"/>
      <c r="H8" s="106"/>
      <c r="I8" s="106"/>
      <c r="J8" s="106"/>
      <c r="K8" s="106"/>
      <c r="L8" s="106"/>
    </row>
    <row r="9" spans="2:12" ht="24.95" customHeight="1">
      <c r="B9" s="107" t="s">
        <v>4</v>
      </c>
      <c r="C9" s="107"/>
      <c r="D9" s="107"/>
      <c r="E9" s="107"/>
      <c r="F9" s="107"/>
      <c r="G9" s="107"/>
      <c r="H9" s="107"/>
      <c r="I9" s="107"/>
      <c r="J9" s="107"/>
      <c r="K9" s="107"/>
      <c r="L9" s="107"/>
    </row>
    <row r="10" spans="2:12" ht="20.100000000000001" customHeight="1">
      <c r="B10" s="7"/>
      <c r="C10" s="7"/>
      <c r="D10" s="4"/>
      <c r="E10" s="4"/>
      <c r="F10" s="4"/>
      <c r="G10" s="4"/>
      <c r="H10" s="4"/>
      <c r="I10" s="4"/>
      <c r="J10" s="4"/>
      <c r="K10" s="4"/>
    </row>
    <row r="11" spans="2:12" ht="18" customHeight="1">
      <c r="B11" s="99" t="s">
        <v>5</v>
      </c>
      <c r="C11" s="99"/>
      <c r="D11" s="8"/>
      <c r="E11" s="101" t="str">
        <f>IF(D11="","Please select Action Type",IF(OR(D11="Joint Project",D11="Structural Project"),"","Error Type of Action"))</f>
        <v>Please select Action Type</v>
      </c>
      <c r="F11" s="101"/>
      <c r="G11" s="101"/>
      <c r="H11" s="101"/>
      <c r="I11" s="101"/>
      <c r="J11" s="101"/>
      <c r="K11" s="101"/>
      <c r="L11" s="101"/>
    </row>
    <row r="12" spans="2:12" ht="18" customHeight="1">
      <c r="B12" s="99" t="s">
        <v>6</v>
      </c>
      <c r="C12" s="99"/>
      <c r="D12" s="8"/>
      <c r="E12" s="101" t="str">
        <f>IF(D12="","Please select duration",IF(OR(D12=24,D12=36),"","Error duration"))</f>
        <v>Please select duration</v>
      </c>
      <c r="F12" s="101"/>
      <c r="G12" s="101"/>
      <c r="H12" s="101"/>
      <c r="I12" s="101"/>
      <c r="J12" s="101"/>
      <c r="K12" s="101"/>
      <c r="L12" s="101"/>
    </row>
    <row r="13" spans="2:12" ht="18" customHeight="1">
      <c r="B13" s="99" t="s">
        <v>7</v>
      </c>
      <c r="C13" s="99"/>
      <c r="D13" s="8"/>
      <c r="E13" s="101" t="str">
        <f>IF(D13="","Please fill in Project Acronym","")</f>
        <v>Please fill in Project Acronym</v>
      </c>
      <c r="F13" s="101"/>
      <c r="G13" s="101"/>
      <c r="H13" s="101"/>
      <c r="I13" s="101"/>
      <c r="J13" s="101"/>
      <c r="K13" s="101"/>
      <c r="L13" s="101"/>
    </row>
    <row r="14" spans="2:12" ht="18" customHeight="1">
      <c r="B14" s="99" t="s">
        <v>8</v>
      </c>
      <c r="C14" s="99"/>
      <c r="D14" s="102"/>
      <c r="E14" s="103"/>
      <c r="F14" s="103"/>
      <c r="G14" s="103"/>
      <c r="H14" s="103"/>
      <c r="I14" s="103"/>
      <c r="J14" s="103"/>
      <c r="K14" s="103"/>
      <c r="L14" s="104"/>
    </row>
    <row r="15" spans="2:12" ht="20.100000000000001" customHeight="1">
      <c r="B15" s="4"/>
      <c r="C15" s="4"/>
      <c r="D15" s="4"/>
      <c r="E15" s="4"/>
      <c r="F15" s="4"/>
      <c r="G15" s="4"/>
      <c r="H15" s="4"/>
      <c r="I15" s="4"/>
      <c r="J15" s="4"/>
      <c r="K15" s="4"/>
    </row>
    <row r="16" spans="2:12" ht="24.95" customHeight="1">
      <c r="B16" s="100" t="s">
        <v>9</v>
      </c>
      <c r="C16" s="100"/>
      <c r="D16" s="100"/>
      <c r="E16" s="100"/>
      <c r="F16" s="100"/>
      <c r="G16" s="100"/>
      <c r="H16" s="100"/>
      <c r="I16" s="100"/>
      <c r="J16" s="100"/>
      <c r="K16" s="100"/>
      <c r="L16" s="100"/>
    </row>
    <row r="17" spans="2:12">
      <c r="B17" s="99" t="s">
        <v>10</v>
      </c>
      <c r="C17" s="99"/>
      <c r="D17" s="9">
        <f>'1. Staff costs'!D9</f>
        <v>121468</v>
      </c>
      <c r="E17" s="108" t="str">
        <f>"Cannot exceed 40% of total Grant requested"</f>
        <v>Cannot exceed 40% of total Grant requested</v>
      </c>
      <c r="F17" s="109"/>
      <c r="G17" s="109"/>
      <c r="H17" s="109"/>
      <c r="I17" s="110" t="str">
        <f>IF(COUNTIF('1. Staff costs'!T:T,"Error")&lt;=1,"","Please check data in Tab '1. Staff Costs'")</f>
        <v>Please check data in Tab '1. Staff Costs'</v>
      </c>
      <c r="J17" s="110"/>
      <c r="K17" s="110"/>
      <c r="L17" s="111"/>
    </row>
    <row r="18" spans="2:12">
      <c r="B18" s="99" t="s">
        <v>11</v>
      </c>
      <c r="C18" s="99"/>
      <c r="D18" s="9">
        <f>' 2-3-6. Travel&amp;Costs of Stay'!D8</f>
        <v>0</v>
      </c>
      <c r="E18" s="108"/>
      <c r="F18" s="109"/>
      <c r="G18" s="109"/>
      <c r="H18" s="109"/>
      <c r="I18" s="110" t="str">
        <f>IF(COUNTIF(' 2-3-6. Travel&amp;Costs of Stay'!R:R,"Error")&lt;=1,"","Please check data in Tab '2-3-6. Travel&amp;Costs of Stay'")</f>
        <v>Please check data in Tab '2-3-6. Travel&amp;Costs of Stay'</v>
      </c>
      <c r="J18" s="110"/>
      <c r="K18" s="110"/>
      <c r="L18" s="111"/>
    </row>
    <row r="19" spans="2:12">
      <c r="B19" s="99" t="s">
        <v>12</v>
      </c>
      <c r="C19" s="99"/>
      <c r="D19" s="9">
        <f>' 2-3-6. Travel&amp;Costs of Stay'!D9</f>
        <v>0</v>
      </c>
      <c r="E19" s="118"/>
      <c r="F19" s="119"/>
      <c r="G19" s="119"/>
      <c r="H19" s="119"/>
      <c r="I19" s="110" t="str">
        <f>IF(COUNTIF(' 2-3-6. Travel&amp;Costs of Stay'!R:R,"Error")&lt;=1,"","Please check data in Tab '2-3-6. Travel&amp;Costs of Stay'")</f>
        <v>Please check data in Tab '2-3-6. Travel&amp;Costs of Stay'</v>
      </c>
      <c r="J19" s="110"/>
      <c r="K19" s="110"/>
      <c r="L19" s="111"/>
    </row>
    <row r="20" spans="2:12">
      <c r="B20" s="99" t="s">
        <v>13</v>
      </c>
      <c r="C20" s="99"/>
      <c r="D20" s="9">
        <f>'4. Equipment Costs'!C4</f>
        <v>0</v>
      </c>
      <c r="E20" s="108" t="str">
        <f>"Cannot exceed 30% of Total Grant requested"</f>
        <v>Cannot exceed 30% of Total Grant requested</v>
      </c>
      <c r="F20" s="109"/>
      <c r="G20" s="109"/>
      <c r="H20" s="109"/>
      <c r="I20" s="110" t="str">
        <f>IF(COUNTIF('4. Equipment Costs'!I:I,"Error")&lt;=1,"","Please check data in Tab '4. Equipment Costs''")</f>
        <v>Please check data in Tab '4. Equipment Costs''</v>
      </c>
      <c r="J20" s="110"/>
      <c r="K20" s="110"/>
      <c r="L20" s="111"/>
    </row>
    <row r="21" spans="2:12">
      <c r="B21" s="99" t="s">
        <v>14</v>
      </c>
      <c r="C21" s="99"/>
      <c r="D21" s="9">
        <f>'5. Subcontracting Costs'!C4</f>
        <v>0</v>
      </c>
      <c r="E21" s="108" t="str">
        <f>"Cannot exceed 10% of Total Grant requested"</f>
        <v>Cannot exceed 10% of Total Grant requested</v>
      </c>
      <c r="F21" s="109"/>
      <c r="G21" s="109"/>
      <c r="H21" s="109"/>
      <c r="I21" s="110" t="str">
        <f>IF(COUNTIF('5. Subcontracting Costs'!I:I,"Error")&lt;=1,"","Please check data in Tab '5. Subcontracting Costs'")</f>
        <v>Please check data in Tab '5. Subcontracting Costs'</v>
      </c>
      <c r="J21" s="110"/>
      <c r="K21" s="110"/>
      <c r="L21" s="111"/>
    </row>
    <row r="22" spans="2:12">
      <c r="B22" s="99" t="s">
        <v>15</v>
      </c>
      <c r="C22" s="99"/>
      <c r="D22" s="9">
        <f>IF(OR(C27="",D27=""),0,' 2-3-6. Travel&amp;Costs of Stay'!D10)</f>
        <v>0</v>
      </c>
      <c r="E22" s="108"/>
      <c r="F22" s="109"/>
      <c r="G22" s="109"/>
      <c r="H22" s="109"/>
      <c r="I22" s="110" t="str">
        <f>IF(COUNTIF(' 2-3-6. Travel&amp;Costs of Stay'!R:R,"Error")&lt;=1,"","Please check data in Tab '2-3-6. Travel&amp;Costs of Stay'")</f>
        <v>Please check data in Tab '2-3-6. Travel&amp;Costs of Stay'</v>
      </c>
      <c r="J22" s="110"/>
      <c r="K22" s="110"/>
      <c r="L22" s="111"/>
    </row>
    <row r="23" spans="2:12" ht="24.95" customHeight="1">
      <c r="B23" s="112" t="s">
        <v>16</v>
      </c>
      <c r="C23" s="113"/>
      <c r="D23" s="10">
        <f>SUM(D17:D22)</f>
        <v>121468</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00000000000001" customHeight="1">
      <c r="B24" s="4"/>
      <c r="C24" s="4"/>
      <c r="D24" s="4"/>
      <c r="E24" s="4"/>
      <c r="F24" s="4"/>
      <c r="G24" s="4"/>
      <c r="H24" s="4"/>
      <c r="I24" s="4"/>
      <c r="J24" s="4"/>
      <c r="K24" s="4"/>
    </row>
    <row r="25" spans="2:12" ht="24.95" customHeight="1">
      <c r="B25" s="100" t="s">
        <v>17</v>
      </c>
      <c r="C25" s="100"/>
      <c r="D25" s="100"/>
      <c r="E25" s="100"/>
      <c r="F25" s="100"/>
      <c r="G25" s="100"/>
      <c r="H25" s="100"/>
      <c r="I25" s="100"/>
      <c r="J25" s="100"/>
      <c r="K25" s="100"/>
      <c r="L25" s="100"/>
    </row>
    <row r="26" spans="2:12" ht="36">
      <c r="B26" s="46" t="s">
        <v>18</v>
      </c>
      <c r="C26" s="11" t="s">
        <v>19</v>
      </c>
      <c r="D26" s="11" t="s">
        <v>20</v>
      </c>
      <c r="E26" s="12" t="s">
        <v>21</v>
      </c>
      <c r="F26" s="12" t="s">
        <v>22</v>
      </c>
      <c r="G26" s="12" t="s">
        <v>23</v>
      </c>
      <c r="H26" s="12" t="s">
        <v>24</v>
      </c>
      <c r="I26" s="12" t="s">
        <v>25</v>
      </c>
      <c r="J26" s="12" t="s">
        <v>26</v>
      </c>
      <c r="K26" s="12" t="s">
        <v>15</v>
      </c>
      <c r="L26" s="13" t="s">
        <v>27</v>
      </c>
    </row>
    <row r="27" spans="2:12">
      <c r="B27" s="44" t="s">
        <v>28</v>
      </c>
      <c r="C27" s="18" t="s">
        <v>29</v>
      </c>
      <c r="D27" s="14" t="s">
        <v>30</v>
      </c>
      <c r="E27" s="15" t="str">
        <f t="shared" ref="E27:E81" si="0">IFERROR(IF(D27&lt;&gt;"",VLOOKUP(D27,CountryType,2,FALSE),""),"Country not found")</f>
        <v>Programme Countries</v>
      </c>
      <c r="F27" s="16">
        <f>SUMIF('1. Staff costs'!C:C,B27,'1. Staff costs'!S:S)</f>
        <v>9680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9680</v>
      </c>
    </row>
    <row r="28" spans="2:12">
      <c r="B28" s="44" t="s">
        <v>31</v>
      </c>
      <c r="C28" s="18" t="s">
        <v>32</v>
      </c>
      <c r="D28" s="14" t="s">
        <v>30</v>
      </c>
      <c r="E28" s="15" t="str">
        <f t="shared" si="0"/>
        <v>Programme Countries</v>
      </c>
      <c r="F28" s="16">
        <f>SUMIF('1. Staff costs'!C:C,B28,'1. Staff costs'!S:S)</f>
        <v>9680</v>
      </c>
      <c r="G28" s="16">
        <f>SUMIF(' 2-3-6. Travel&amp;Costs of Stay'!C:C,B28,' 2-3-6. Travel&amp;Costs of Stay'!O:O)</f>
        <v>0</v>
      </c>
      <c r="H28" s="16">
        <f>SUMIF(' 2-3-6. Travel&amp;Costs of Stay'!C:C,B28,' 2-3-6. Travel&amp;Costs of Stay'!P:P)</f>
        <v>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9680</v>
      </c>
    </row>
    <row r="29" spans="2:12">
      <c r="B29" s="44" t="s">
        <v>33</v>
      </c>
      <c r="C29" s="18" t="s">
        <v>34</v>
      </c>
      <c r="D29" s="14" t="s">
        <v>35</v>
      </c>
      <c r="E29" s="15" t="str">
        <f t="shared" si="0"/>
        <v>Programme Countries</v>
      </c>
      <c r="F29" s="16">
        <f>SUMIF('1. Staff costs'!C:C,B29,'1. Staff costs'!S:S)</f>
        <v>9680</v>
      </c>
      <c r="G29" s="16">
        <f>SUMIF(' 2-3-6. Travel&amp;Costs of Stay'!C:C,B29,' 2-3-6. Travel&amp;Costs of Stay'!O:O)</f>
        <v>0</v>
      </c>
      <c r="H29" s="16">
        <f>SUMIF(' 2-3-6. Travel&amp;Costs of Stay'!C:C,B29,' 2-3-6. Travel&amp;Costs of Stay'!P:P)</f>
        <v>0</v>
      </c>
      <c r="I29" s="16">
        <f>SUMIF('4. Equipment Costs'!C:C,B29,'4. Equipment Costs'!H:H)</f>
        <v>0</v>
      </c>
      <c r="J29" s="16">
        <f>SUMIF('5. Subcontracting Costs'!C:C,B29,'5. Subcontracting Costs'!H:H)</f>
        <v>0</v>
      </c>
      <c r="K29" s="16">
        <f>SUMIF(' 2-3-6. Travel&amp;Costs of Stay'!C:C,B29,' 2-3-6. Travel&amp;Costs of Stay'!N:N)</f>
        <v>0</v>
      </c>
      <c r="L29" s="17">
        <f t="shared" si="1"/>
        <v>9680</v>
      </c>
    </row>
    <row r="30" spans="2:12">
      <c r="B30" s="44" t="s">
        <v>36</v>
      </c>
      <c r="C30" s="18" t="s">
        <v>37</v>
      </c>
      <c r="D30" s="14" t="s">
        <v>38</v>
      </c>
      <c r="E30" s="15" t="str">
        <f t="shared" si="0"/>
        <v>Partner Countries</v>
      </c>
      <c r="F30" s="16">
        <f>SUMIF('1. Staff costs'!C:C,B30,'1. Staff costs'!S:S)</f>
        <v>0</v>
      </c>
      <c r="G30" s="16">
        <f>SUMIF(' 2-3-6. Travel&amp;Costs of Stay'!C:C,B30,' 2-3-6. Travel&amp;Costs of Stay'!O:O)</f>
        <v>0</v>
      </c>
      <c r="H30" s="16">
        <f>SUMIF(' 2-3-6. Travel&amp;Costs of Stay'!C:C,B30,' 2-3-6. Travel&amp;Costs of Stay'!P:P)</f>
        <v>0</v>
      </c>
      <c r="I30" s="16">
        <f>SUMIF('4. Equipment Costs'!C:C,B30,'4. Equipment Costs'!H:H)</f>
        <v>0</v>
      </c>
      <c r="J30" s="16">
        <f>SUMIF('5. Subcontracting Costs'!C:C,B30,'5. Subcontracting Costs'!H:H)</f>
        <v>0</v>
      </c>
      <c r="K30" s="16">
        <f>SUMIF(' 2-3-6. Travel&amp;Costs of Stay'!C:C,B30,' 2-3-6. Travel&amp;Costs of Stay'!N:N)</f>
        <v>0</v>
      </c>
      <c r="L30" s="17">
        <f t="shared" si="1"/>
        <v>0</v>
      </c>
    </row>
    <row r="31" spans="2:12">
      <c r="B31" s="44" t="s">
        <v>39</v>
      </c>
      <c r="C31" s="18" t="s">
        <v>40</v>
      </c>
      <c r="D31" s="14" t="s">
        <v>30</v>
      </c>
      <c r="E31" s="15" t="str">
        <f t="shared" si="0"/>
        <v>Programme Countries</v>
      </c>
      <c r="F31" s="16">
        <f>SUMIF('1. Staff costs'!C:C,B31,'1. Staff costs'!S:S)</f>
        <v>9680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9680</v>
      </c>
    </row>
    <row r="32" spans="2:12">
      <c r="B32" s="44" t="s">
        <v>41</v>
      </c>
      <c r="C32" s="18" t="s">
        <v>42</v>
      </c>
      <c r="D32" s="14" t="s">
        <v>43</v>
      </c>
      <c r="E32" s="15" t="str">
        <f t="shared" si="0"/>
        <v>Programme Countries</v>
      </c>
      <c r="F32" s="16">
        <f>SUMIF('1. Staff costs'!C:C,B32,'1. Staff costs'!S:S)</f>
        <v>9680</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9680</v>
      </c>
    </row>
    <row r="33" spans="2:12">
      <c r="B33" s="44" t="s">
        <v>44</v>
      </c>
      <c r="C33" s="18" t="s">
        <v>45</v>
      </c>
      <c r="D33" s="14" t="s">
        <v>30</v>
      </c>
      <c r="E33" s="15" t="str">
        <f t="shared" si="0"/>
        <v>Programme Countries</v>
      </c>
      <c r="F33" s="16">
        <f>SUMIF('1. Staff costs'!C:C,B33,'1. Staff costs'!S:S)</f>
        <v>9680</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0</v>
      </c>
      <c r="K33" s="16">
        <f>SUMIF(' 2-3-6. Travel&amp;Costs of Stay'!C:C,B33,' 2-3-6. Travel&amp;Costs of Stay'!N:N)</f>
        <v>0</v>
      </c>
      <c r="L33" s="17">
        <f t="shared" si="1"/>
        <v>9680</v>
      </c>
    </row>
    <row r="34" spans="2:12">
      <c r="B34" s="44" t="s">
        <v>46</v>
      </c>
      <c r="C34" s="18" t="s">
        <v>47</v>
      </c>
      <c r="D34" s="14" t="s">
        <v>48</v>
      </c>
      <c r="E34" s="15" t="str">
        <f t="shared" si="0"/>
        <v>Partner Countries</v>
      </c>
      <c r="F34" s="16">
        <f>SUMIF('1. Staff costs'!C:C,B34,'1. Staff costs'!S:S)</f>
        <v>11880</v>
      </c>
      <c r="G34" s="16">
        <f>SUMIF(' 2-3-6. Travel&amp;Costs of Stay'!C:C,B34,' 2-3-6. Travel&amp;Costs of Stay'!O:O)</f>
        <v>0</v>
      </c>
      <c r="H34" s="16">
        <f>SUMIF(' 2-3-6. Travel&amp;Costs of Stay'!C:C,B34,' 2-3-6. Travel&amp;Costs of Stay'!P:P)</f>
        <v>0</v>
      </c>
      <c r="I34" s="16">
        <f>SUMIF('4. Equipment Costs'!C:C,B34,'4. Equipment Costs'!H:H)</f>
        <v>0</v>
      </c>
      <c r="J34" s="16">
        <f>SUMIF('5. Subcontracting Costs'!C:C,B34,'5. Subcontracting Costs'!H:H)</f>
        <v>0</v>
      </c>
      <c r="K34" s="16">
        <f>SUMIF(' 2-3-6. Travel&amp;Costs of Stay'!C:C,B34,' 2-3-6. Travel&amp;Costs of Stay'!N:N)</f>
        <v>0</v>
      </c>
      <c r="L34" s="17">
        <f t="shared" si="1"/>
        <v>11880</v>
      </c>
    </row>
    <row r="35" spans="2:12">
      <c r="B35" s="44" t="s">
        <v>49</v>
      </c>
      <c r="C35" s="18" t="s">
        <v>50</v>
      </c>
      <c r="D35" s="14" t="s">
        <v>30</v>
      </c>
      <c r="E35" s="15" t="str">
        <f t="shared" si="0"/>
        <v>Programme Countries</v>
      </c>
      <c r="F35" s="16">
        <f>SUMIF('1. Staff costs'!C:C,B35,'1. Staff costs'!S:S)</f>
        <v>9680</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9680</v>
      </c>
    </row>
    <row r="36" spans="2:12">
      <c r="B36" s="44" t="s">
        <v>51</v>
      </c>
      <c r="C36" s="18" t="s">
        <v>52</v>
      </c>
      <c r="D36" s="14" t="s">
        <v>53</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c r="B37" s="44" t="s">
        <v>54</v>
      </c>
      <c r="C37" s="18" t="s">
        <v>55</v>
      </c>
      <c r="D37" s="14" t="s">
        <v>56</v>
      </c>
      <c r="E37" s="15" t="str">
        <f t="shared" si="0"/>
        <v>Programme Countries</v>
      </c>
      <c r="F37" s="16">
        <f>SUMIF('1. Staff costs'!C:C,B37,'1. Staff costs'!S:S)</f>
        <v>9680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9680</v>
      </c>
    </row>
    <row r="38" spans="2:12">
      <c r="B38" s="44" t="s">
        <v>57</v>
      </c>
      <c r="C38" s="18" t="s">
        <v>58</v>
      </c>
      <c r="D38" s="14" t="s">
        <v>30</v>
      </c>
      <c r="E38" s="15" t="str">
        <f t="shared" si="0"/>
        <v>Programme Countries</v>
      </c>
      <c r="F38" s="16">
        <f>SUMIF('1. Staff costs'!C:C,B38,'1. Staff costs'!S:S)</f>
        <v>9680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9680</v>
      </c>
    </row>
    <row r="39" spans="2:12">
      <c r="B39" s="44" t="s">
        <v>59</v>
      </c>
      <c r="C39" s="18" t="s">
        <v>60</v>
      </c>
      <c r="D39" s="14" t="s">
        <v>61</v>
      </c>
      <c r="E39" s="15" t="str">
        <f t="shared" si="0"/>
        <v>Programme Countries</v>
      </c>
      <c r="F39" s="16">
        <f>SUMIF('1. Staff costs'!C:C,B39,'1. Staff costs'!S:S)</f>
        <v>22468</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22468</v>
      </c>
    </row>
    <row r="40" spans="2:12">
      <c r="B40" s="44" t="s">
        <v>62</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373" priority="18">
      <formula>D17&gt;ROUND(D23*0.4,2)</formula>
    </cfRule>
  </conditionalFormatting>
  <conditionalFormatting sqref="D20">
    <cfRule type="expression" dxfId="372" priority="16">
      <formula>D20&gt;ROUND(D23*0.3,2)</formula>
    </cfRule>
  </conditionalFormatting>
  <conditionalFormatting sqref="D21">
    <cfRule type="expression" dxfId="371" priority="14">
      <formula>D21&gt;ROUND(D23*0.1,2)</formula>
    </cfRule>
  </conditionalFormatting>
  <conditionalFormatting sqref="D23">
    <cfRule type="cellIs" dxfId="370" priority="12" operator="notBetween">
      <formula>500000</formula>
      <formula>1000000</formula>
    </cfRule>
  </conditionalFormatting>
  <conditionalFormatting sqref="E18 I18">
    <cfRule type="cellIs" dxfId="369" priority="2" operator="equal">
      <formula>"Exceptional travel costs exceed 80% of total travel costs"</formula>
    </cfRule>
  </conditionalFormatting>
  <conditionalFormatting sqref="I19">
    <cfRule type="cellIs" dxfId="36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40625" defaultRowHeight="14.45"/>
  <cols>
    <col min="1" max="1" width="30.28515625" style="85" customWidth="1"/>
    <col min="2" max="2" width="77.140625" style="85" bestFit="1" customWidth="1"/>
    <col min="3" max="3" width="10.42578125" style="85" customWidth="1"/>
    <col min="4" max="16384" width="9.140625" style="85"/>
  </cols>
  <sheetData>
    <row r="1" spans="1:2" ht="15.6">
      <c r="A1" s="80" t="s">
        <v>104</v>
      </c>
      <c r="B1" s="81"/>
    </row>
    <row r="2" spans="1:2">
      <c r="A2" s="82" t="s">
        <v>10</v>
      </c>
      <c r="B2" s="82" t="str">
        <f>IF(COUNTIF('1. Staff costs'!T:T,"Error")&lt;=1,"OK","Please check data in Tab '"&amp;A2&amp;"'")</f>
        <v>Please check data in Tab '1. Staff Costs'</v>
      </c>
    </row>
    <row r="3" spans="1:2">
      <c r="A3" s="83" t="s">
        <v>105</v>
      </c>
      <c r="B3" s="83" t="str">
        <f>IF(COUNTIF(' 2-3-6. Travel&amp;Costs of Stay'!R:R,"Error")&lt;=1,"OK","Please check data in Tab '"&amp;A3&amp;"'")</f>
        <v>Please check data in Tab '2-3. Travel Costs&amp;Costs of Stay'</v>
      </c>
    </row>
    <row r="4" spans="1:2">
      <c r="A4" s="83" t="s">
        <v>13</v>
      </c>
      <c r="B4" s="83" t="str">
        <f>IF(COUNTIF('4. Equipment Costs'!I:T,"Error")&lt;=1,"OK","Please check data in Tab '"&amp;A4&amp;"'")</f>
        <v>Please check data in Tab '4. Equipment Costs'</v>
      </c>
    </row>
    <row r="5" spans="1:2">
      <c r="A5" s="83" t="s">
        <v>14</v>
      </c>
      <c r="B5" s="83" t="str">
        <f>IF(COUNTIF('5. Subcontracting Costs'!I:I,"Error")&lt;=1,"OK","Please check data in Tab '"&amp;A5&amp;"'")</f>
        <v>Please check data in Tab '5. Subcontracting Costs'</v>
      </c>
    </row>
    <row r="6" spans="1:2">
      <c r="A6" s="83" t="s">
        <v>106</v>
      </c>
      <c r="B6" s="83" t="str">
        <f>IF(COUNTIF('Co-financing'!J:J,"Error")&lt;=1,"OK","Please check data in Tab '"&amp;A6&amp;"'")</f>
        <v>Please check data in Tab 'Co-financing'</v>
      </c>
    </row>
    <row r="7" spans="1:2">
      <c r="A7" s="84" t="s">
        <v>107</v>
      </c>
      <c r="B7" s="84" t="str">
        <f>IF(' 2-3-6. Travel&amp;Costs of Stay'!K4="","OK","Please check Exceptional Travel Costs (EUR) in Tab '"&amp;A3&amp;"'")</f>
        <v>OK</v>
      </c>
    </row>
  </sheetData>
  <conditionalFormatting sqref="B2:B7">
    <cfRule type="cellIs" dxfId="366" priority="5" operator="notEqual">
      <formula>"OK"</formula>
    </cfRule>
    <cfRule type="cellIs" dxfId="36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89"/>
  <sheetViews>
    <sheetView showGridLines="0" tabSelected="1" topLeftCell="J1" zoomScale="70" zoomScaleNormal="70" zoomScaleSheetLayoutView="55" workbookViewId="0">
      <pane ySplit="13" topLeftCell="A54" activePane="bottomLeft" state="frozen"/>
      <selection pane="bottomLeft" activeCell="F61" sqref="F61"/>
    </sheetView>
  </sheetViews>
  <sheetFormatPr defaultColWidth="9.140625" defaultRowHeight="18"/>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row r="2" spans="2:20" s="20" customFormat="1" ht="39.950000000000003" customHeight="1">
      <c r="B2" s="131" t="s">
        <v>10</v>
      </c>
      <c r="C2" s="131"/>
      <c r="D2" s="131"/>
      <c r="E2" s="131"/>
      <c r="F2" s="131"/>
      <c r="G2" s="131"/>
      <c r="H2" s="131"/>
      <c r="I2" s="131"/>
      <c r="J2" s="131"/>
      <c r="K2" s="131"/>
      <c r="L2" s="131"/>
      <c r="M2" s="131"/>
      <c r="N2" s="131"/>
      <c r="O2" s="131"/>
      <c r="P2" s="131"/>
      <c r="Q2" s="131"/>
      <c r="R2" s="131"/>
      <c r="S2" s="131"/>
      <c r="T2" s="131"/>
    </row>
    <row r="3" spans="2:20" s="20" customFormat="1" ht="8.1" customHeight="1">
      <c r="B3" s="128"/>
      <c r="C3" s="129"/>
      <c r="D3" s="129"/>
      <c r="E3" s="129"/>
      <c r="F3" s="129"/>
      <c r="G3" s="129"/>
      <c r="H3" s="129"/>
      <c r="I3" s="129"/>
      <c r="J3" s="129"/>
      <c r="K3" s="129"/>
      <c r="L3" s="129"/>
      <c r="M3" s="129"/>
      <c r="N3" s="129"/>
      <c r="O3" s="129"/>
      <c r="P3" s="129"/>
      <c r="Q3" s="129"/>
      <c r="R3" s="129"/>
      <c r="S3" s="129"/>
      <c r="T3" s="130"/>
    </row>
    <row r="4" spans="2:20" s="20" customFormat="1" ht="20.100000000000001" customHeight="1">
      <c r="B4" s="125"/>
      <c r="C4" s="127"/>
      <c r="D4" s="40" t="s">
        <v>108</v>
      </c>
      <c r="E4" s="40" t="s">
        <v>109</v>
      </c>
      <c r="F4" s="122"/>
      <c r="G4" s="123"/>
      <c r="H4" s="123"/>
      <c r="I4" s="123"/>
      <c r="J4" s="123"/>
      <c r="K4" s="123"/>
      <c r="L4" s="123"/>
      <c r="M4" s="123"/>
      <c r="N4" s="123"/>
      <c r="O4" s="123"/>
      <c r="P4" s="123"/>
      <c r="Q4" s="123"/>
      <c r="R4" s="123"/>
      <c r="S4" s="123"/>
      <c r="T4" s="124"/>
    </row>
    <row r="5" spans="2:20" s="20" customFormat="1" ht="20.100000000000001" customHeight="1">
      <c r="B5" s="136" t="s">
        <v>110</v>
      </c>
      <c r="C5" s="137"/>
      <c r="D5" s="41">
        <f>SUM(H:H)</f>
        <v>121468</v>
      </c>
      <c r="E5" s="24">
        <f>SUMIF(T:T,"&lt;&gt;Error",F:F)</f>
        <v>1237</v>
      </c>
      <c r="F5" s="122"/>
      <c r="G5" s="123"/>
      <c r="H5" s="123"/>
      <c r="I5" s="123"/>
      <c r="J5" s="123"/>
      <c r="K5" s="123"/>
      <c r="L5" s="123"/>
      <c r="M5" s="123"/>
      <c r="N5" s="123"/>
      <c r="O5" s="123"/>
      <c r="P5" s="123"/>
      <c r="Q5" s="123"/>
      <c r="R5" s="123"/>
      <c r="S5" s="123"/>
      <c r="T5" s="124"/>
    </row>
    <row r="6" spans="2:20" s="20" customFormat="1" ht="20.100000000000001" customHeight="1">
      <c r="B6" s="138" t="s">
        <v>111</v>
      </c>
      <c r="C6" s="139"/>
      <c r="D6" s="41">
        <f>SUM(K:K)</f>
        <v>0</v>
      </c>
      <c r="E6" s="24">
        <f>SUMIF(T:T,"&lt;&gt;Error",I:I)</f>
        <v>0</v>
      </c>
      <c r="F6" s="122"/>
      <c r="G6" s="123"/>
      <c r="H6" s="123"/>
      <c r="I6" s="123"/>
      <c r="J6" s="123"/>
      <c r="K6" s="123"/>
      <c r="L6" s="123"/>
      <c r="M6" s="123"/>
      <c r="N6" s="123"/>
      <c r="O6" s="123"/>
      <c r="P6" s="123"/>
      <c r="Q6" s="123"/>
      <c r="R6" s="123"/>
      <c r="S6" s="123"/>
      <c r="T6" s="124"/>
    </row>
    <row r="7" spans="2:20" s="20" customFormat="1" ht="20.100000000000001" customHeight="1">
      <c r="B7" s="136" t="s">
        <v>112</v>
      </c>
      <c r="C7" s="137"/>
      <c r="D7" s="41">
        <f>SUM(N:N)</f>
        <v>0</v>
      </c>
      <c r="E7" s="24">
        <f>SUMIF(T:T,"&lt;&gt;Error",L:L)</f>
        <v>0</v>
      </c>
      <c r="F7" s="122"/>
      <c r="G7" s="123"/>
      <c r="H7" s="123"/>
      <c r="I7" s="123"/>
      <c r="J7" s="123"/>
      <c r="K7" s="123"/>
      <c r="L7" s="123"/>
      <c r="M7" s="123"/>
      <c r="N7" s="123"/>
      <c r="O7" s="123"/>
      <c r="P7" s="123"/>
      <c r="Q7" s="123"/>
      <c r="R7" s="123"/>
      <c r="S7" s="123"/>
      <c r="T7" s="124"/>
    </row>
    <row r="8" spans="2:20" s="20" customFormat="1" ht="20.100000000000001" customHeight="1">
      <c r="B8" s="136" t="s">
        <v>113</v>
      </c>
      <c r="C8" s="137"/>
      <c r="D8" s="41">
        <f>SUM(Q:Q)</f>
        <v>0</v>
      </c>
      <c r="E8" s="24">
        <f>SUMIF(T:T,"&lt;&gt;Error",O:O)</f>
        <v>0</v>
      </c>
      <c r="F8" s="122"/>
      <c r="G8" s="123"/>
      <c r="H8" s="123"/>
      <c r="I8" s="123"/>
      <c r="J8" s="123"/>
      <c r="K8" s="123"/>
      <c r="L8" s="123"/>
      <c r="M8" s="123"/>
      <c r="N8" s="123"/>
      <c r="O8" s="123"/>
      <c r="P8" s="123"/>
      <c r="Q8" s="123"/>
      <c r="R8" s="123"/>
      <c r="S8" s="123"/>
      <c r="T8" s="124"/>
    </row>
    <row r="9" spans="2:20" s="20" customFormat="1" ht="20.100000000000001" customHeight="1">
      <c r="B9" s="140"/>
      <c r="C9" s="141"/>
      <c r="D9" s="26">
        <f>SUM(D5:D8)</f>
        <v>121468</v>
      </c>
      <c r="E9" s="25">
        <f>SUM(E5:E8)</f>
        <v>1237</v>
      </c>
      <c r="F9" s="122"/>
      <c r="G9" s="123"/>
      <c r="H9" s="123"/>
      <c r="I9" s="123"/>
      <c r="J9" s="123"/>
      <c r="K9" s="123"/>
      <c r="L9" s="123"/>
      <c r="M9" s="123"/>
      <c r="N9" s="123"/>
      <c r="O9" s="123"/>
      <c r="P9" s="123"/>
      <c r="Q9" s="123"/>
      <c r="R9" s="123"/>
      <c r="S9" s="123"/>
      <c r="T9" s="124"/>
    </row>
    <row r="10" spans="2:20" s="20" customFormat="1" ht="8.1" customHeight="1">
      <c r="B10" s="125"/>
      <c r="C10" s="126"/>
      <c r="D10" s="126"/>
      <c r="E10" s="126"/>
      <c r="F10" s="126"/>
      <c r="G10" s="126"/>
      <c r="H10" s="126"/>
      <c r="I10" s="126"/>
      <c r="J10" s="126"/>
      <c r="K10" s="126"/>
      <c r="L10" s="126"/>
      <c r="M10" s="126"/>
      <c r="N10" s="126"/>
      <c r="O10" s="126"/>
      <c r="P10" s="126"/>
      <c r="Q10" s="126"/>
      <c r="R10" s="126"/>
      <c r="S10" s="126"/>
      <c r="T10" s="127"/>
    </row>
    <row r="11" spans="2:20" s="45" customFormat="1" ht="23.1" customHeight="1">
      <c r="B11" s="120" t="s">
        <v>114</v>
      </c>
      <c r="C11" s="120" t="s">
        <v>18</v>
      </c>
      <c r="D11" s="120" t="s">
        <v>115</v>
      </c>
      <c r="E11" s="120" t="s">
        <v>116</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117</v>
      </c>
      <c r="S11" s="120" t="s">
        <v>118</v>
      </c>
      <c r="T11" s="120" t="s">
        <v>119</v>
      </c>
    </row>
    <row r="12" spans="2:20" s="45" customFormat="1" ht="42" customHeight="1">
      <c r="B12" s="121"/>
      <c r="C12" s="121"/>
      <c r="D12" s="121"/>
      <c r="E12" s="121"/>
      <c r="F12" s="46" t="s">
        <v>120</v>
      </c>
      <c r="G12" s="27" t="s">
        <v>121</v>
      </c>
      <c r="H12" s="46" t="s">
        <v>122</v>
      </c>
      <c r="I12" s="46" t="s">
        <v>120</v>
      </c>
      <c r="J12" s="27" t="s">
        <v>121</v>
      </c>
      <c r="K12" s="46" t="s">
        <v>122</v>
      </c>
      <c r="L12" s="46" t="s">
        <v>120</v>
      </c>
      <c r="M12" s="27" t="s">
        <v>121</v>
      </c>
      <c r="N12" s="46" t="s">
        <v>122</v>
      </c>
      <c r="O12" s="46" t="s">
        <v>120</v>
      </c>
      <c r="P12" s="27" t="s">
        <v>121</v>
      </c>
      <c r="Q12" s="46" t="s">
        <v>122</v>
      </c>
      <c r="R12" s="121"/>
      <c r="S12" s="121"/>
      <c r="T12" s="121"/>
    </row>
    <row r="13" spans="2:20"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c r="B14" s="14" t="s">
        <v>123</v>
      </c>
      <c r="C14" s="19" t="s">
        <v>41</v>
      </c>
      <c r="D14" s="42" t="str">
        <f t="shared" si="0"/>
        <v xml:space="preserve">Udruga Eko </v>
      </c>
      <c r="E14" s="42" t="str">
        <f t="shared" si="1"/>
        <v>Croatia</v>
      </c>
      <c r="F14" s="28">
        <v>0</v>
      </c>
      <c r="G14" s="29">
        <f t="shared" si="2"/>
        <v>88</v>
      </c>
      <c r="H14" s="30">
        <f t="shared" si="3"/>
        <v>0</v>
      </c>
      <c r="I14" s="28">
        <v>0</v>
      </c>
      <c r="J14" s="29">
        <f t="shared" si="4"/>
        <v>74</v>
      </c>
      <c r="K14" s="30">
        <f t="shared" si="5"/>
        <v>0</v>
      </c>
      <c r="L14" s="28">
        <v>0</v>
      </c>
      <c r="M14" s="29">
        <f t="shared" si="6"/>
        <v>55</v>
      </c>
      <c r="N14" s="30">
        <f t="shared" si="7"/>
        <v>0</v>
      </c>
      <c r="O14" s="28">
        <v>0</v>
      </c>
      <c r="P14" s="29">
        <f t="shared" si="8"/>
        <v>39</v>
      </c>
      <c r="Q14" s="30">
        <f t="shared" si="9"/>
        <v>0</v>
      </c>
      <c r="R14" s="31">
        <f t="shared" si="10"/>
        <v>0</v>
      </c>
      <c r="S14" s="32">
        <f t="shared" si="11"/>
        <v>0</v>
      </c>
      <c r="T14" s="33" t="str">
        <f t="shared" si="12"/>
        <v/>
      </c>
    </row>
    <row r="15" spans="2:20" s="34" customFormat="1">
      <c r="B15" s="14" t="s">
        <v>123</v>
      </c>
      <c r="C15" s="19" t="s">
        <v>44</v>
      </c>
      <c r="D15" s="42" t="str">
        <f t="shared" ref="D15:D78" si="13">IFERROR(IF(VLOOKUP(C15,PartnerN°Ref,2,FALSE)=0,"",VLOOKUP(C15,PartnerN°Ref,2,FALSE)),"")</f>
        <v>Eko Drustvo Duboko</v>
      </c>
      <c r="E15" s="42" t="str">
        <f t="shared" ref="E15:E78" si="14">IFERROR(IF(OR(VLOOKUP(C15,PartnerN°Ref,4,FALSE)="Country not found",VLOOKUP(C15,PartnerN°Ref,3,FALSE)=0),"",VLOOKUP(C15,PartnerN°Ref,3,FALSE)),"")</f>
        <v>Serbia</v>
      </c>
      <c r="F15" s="28">
        <v>0</v>
      </c>
      <c r="G15" s="29">
        <f t="shared" ref="G15:G78" si="15">IF(T15="Error",0,INDEX(Rates,MATCH(E15,CountryALL,0),MATCH($F$11,Category,0)))</f>
        <v>88</v>
      </c>
      <c r="H15" s="30">
        <f t="shared" ref="H15:H78" si="16">IFERROR(IF(T15="Error",0,ROUND(F15*G15,2)),0)</f>
        <v>0</v>
      </c>
      <c r="I15" s="28">
        <v>0</v>
      </c>
      <c r="J15" s="29">
        <f t="shared" ref="J15:J78" si="17">IF(T15="Error",0,INDEX(Rates,MATCH(E15,CountryALL,0),MATCH($I$11,Category,0)))</f>
        <v>74</v>
      </c>
      <c r="K15" s="30">
        <f t="shared" ref="K15:K78" si="18">IFERROR(IF(T15="Error",0,ROUND(I15*J15,2)),0)</f>
        <v>0</v>
      </c>
      <c r="L15" s="28">
        <v>0</v>
      </c>
      <c r="M15" s="29">
        <f t="shared" ref="M15:M78" si="19">IF(T15="Error",0,INDEX(Rates,MATCH(E15,CountryALL,0),MATCH($L$11,Category,0)))</f>
        <v>55</v>
      </c>
      <c r="N15" s="30">
        <f t="shared" ref="N15:N78" si="20">IFERROR(IF(T15="Error",0,ROUND(L15*M15,2)),0)</f>
        <v>0</v>
      </c>
      <c r="O15" s="28">
        <v>0</v>
      </c>
      <c r="P15" s="29">
        <f t="shared" ref="P15:P78" si="21">IF(T15="Error",0,INDEX(Rates,MATCH(E15,CountryALL,0),MATCH($O$11,Category,0)))</f>
        <v>39</v>
      </c>
      <c r="Q15" s="30">
        <f t="shared" ref="Q15:Q78" si="22">IFERROR(IF(T15="Error",0,ROUND(O15*P15,2)),0)</f>
        <v>0</v>
      </c>
      <c r="R15" s="31">
        <f t="shared" ref="R15:R78" si="23">IF(T15="Error",0,F15+I15+L15+O15)</f>
        <v>0</v>
      </c>
      <c r="S15" s="32">
        <f t="shared" ref="S15:S78" si="24">IF(T15="Error",0,H15+K15+N15+Q15)</f>
        <v>0</v>
      </c>
      <c r="T15" s="33" t="str">
        <f t="shared" ref="T15:T7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0</v>
      </c>
      <c r="P16" s="29">
        <f t="shared" si="21"/>
        <v>45</v>
      </c>
      <c r="Q16" s="30">
        <f t="shared" si="22"/>
        <v>0</v>
      </c>
      <c r="R16" s="31">
        <f t="shared" si="23"/>
        <v>0</v>
      </c>
      <c r="S16" s="32">
        <f t="shared" si="24"/>
        <v>0</v>
      </c>
      <c r="T16" s="33" t="str">
        <f t="shared" si="25"/>
        <v/>
      </c>
    </row>
    <row r="17" spans="2:20" s="34" customFormat="1">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0</v>
      </c>
      <c r="P17" s="29">
        <f t="shared" si="21"/>
        <v>78</v>
      </c>
      <c r="Q17" s="30">
        <f t="shared" si="22"/>
        <v>0</v>
      </c>
      <c r="R17" s="31">
        <f t="shared" si="23"/>
        <v>0</v>
      </c>
      <c r="S17" s="32">
        <f t="shared" si="24"/>
        <v>0</v>
      </c>
      <c r="T17" s="33" t="str">
        <f t="shared" si="25"/>
        <v/>
      </c>
    </row>
    <row r="18" spans="2:20" s="34" customFormat="1">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0</v>
      </c>
      <c r="P18" s="29">
        <f t="shared" si="21"/>
        <v>39</v>
      </c>
      <c r="Q18" s="30">
        <f t="shared" si="22"/>
        <v>0</v>
      </c>
      <c r="R18" s="31">
        <f t="shared" si="23"/>
        <v>0</v>
      </c>
      <c r="S18" s="32">
        <f t="shared" si="24"/>
        <v>0</v>
      </c>
      <c r="T18" s="33" t="str">
        <f t="shared" si="25"/>
        <v/>
      </c>
    </row>
    <row r="19" spans="2:20" s="34" customFormat="1">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0</v>
      </c>
      <c r="P19" s="29">
        <f t="shared" si="21"/>
        <v>39</v>
      </c>
      <c r="Q19" s="30">
        <f t="shared" si="22"/>
        <v>0</v>
      </c>
      <c r="R19" s="31">
        <f t="shared" si="23"/>
        <v>0</v>
      </c>
      <c r="S19" s="32">
        <f t="shared" si="24"/>
        <v>0</v>
      </c>
      <c r="T19" s="33" t="str">
        <f t="shared" si="25"/>
        <v/>
      </c>
    </row>
    <row r="20" spans="2:20" s="34" customFormat="1">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0</v>
      </c>
      <c r="P20" s="29">
        <f t="shared" si="21"/>
        <v>39</v>
      </c>
      <c r="Q20" s="30">
        <f t="shared" si="22"/>
        <v>0</v>
      </c>
      <c r="R20" s="31">
        <f t="shared" si="23"/>
        <v>0</v>
      </c>
      <c r="S20" s="32">
        <f t="shared" si="24"/>
        <v>0</v>
      </c>
      <c r="T20" s="33" t="str">
        <f t="shared" si="25"/>
        <v/>
      </c>
    </row>
    <row r="21" spans="2:20" s="34" customFormat="1">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0</v>
      </c>
      <c r="P21" s="29">
        <f t="shared" si="21"/>
        <v>39</v>
      </c>
      <c r="Q21" s="30">
        <f t="shared" si="22"/>
        <v>0</v>
      </c>
      <c r="R21" s="31">
        <f t="shared" si="23"/>
        <v>0</v>
      </c>
      <c r="S21" s="32">
        <f t="shared" si="24"/>
        <v>0</v>
      </c>
      <c r="T21" s="33" t="str">
        <f t="shared" si="25"/>
        <v/>
      </c>
    </row>
    <row r="22" spans="2:20" s="34" customFormat="1">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0</v>
      </c>
      <c r="P22" s="29">
        <f t="shared" si="21"/>
        <v>39</v>
      </c>
      <c r="Q22" s="30">
        <f t="shared" si="22"/>
        <v>0</v>
      </c>
      <c r="R22" s="31">
        <f t="shared" si="23"/>
        <v>0</v>
      </c>
      <c r="S22" s="32">
        <f t="shared" si="24"/>
        <v>0</v>
      </c>
      <c r="T22" s="33" t="str">
        <f t="shared" si="25"/>
        <v/>
      </c>
    </row>
    <row r="23" spans="2:20" s="34" customFormat="1">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0</v>
      </c>
      <c r="P23" s="29">
        <f t="shared" si="21"/>
        <v>39</v>
      </c>
      <c r="Q23" s="30">
        <f t="shared" si="22"/>
        <v>0</v>
      </c>
      <c r="R23" s="31">
        <f t="shared" si="23"/>
        <v>0</v>
      </c>
      <c r="S23" s="32">
        <f t="shared" si="24"/>
        <v>0</v>
      </c>
      <c r="T23" s="33" t="str">
        <f t="shared" si="25"/>
        <v/>
      </c>
    </row>
    <row r="24" spans="2:20" s="34" customFormat="1">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0</v>
      </c>
      <c r="P24" s="29">
        <f t="shared" si="21"/>
        <v>39</v>
      </c>
      <c r="Q24" s="30">
        <f t="shared" si="22"/>
        <v>0</v>
      </c>
      <c r="R24" s="31">
        <f t="shared" si="23"/>
        <v>0</v>
      </c>
      <c r="S24" s="32">
        <f t="shared" si="24"/>
        <v>0</v>
      </c>
      <c r="T24" s="33" t="str">
        <f t="shared" si="25"/>
        <v/>
      </c>
    </row>
    <row r="25" spans="2:20" s="34" customFormat="1">
      <c r="B25" s="14" t="s">
        <v>124</v>
      </c>
      <c r="C25" s="19" t="s">
        <v>41</v>
      </c>
      <c r="D25" s="42" t="str">
        <f t="shared" si="13"/>
        <v xml:space="preserve">Udruga Eko </v>
      </c>
      <c r="E25" s="42" t="str">
        <f t="shared" si="14"/>
        <v>Croatia</v>
      </c>
      <c r="F25" s="28">
        <v>0</v>
      </c>
      <c r="G25" s="29">
        <f t="shared" si="15"/>
        <v>88</v>
      </c>
      <c r="H25" s="30">
        <f t="shared" si="16"/>
        <v>0</v>
      </c>
      <c r="I25" s="28">
        <v>0</v>
      </c>
      <c r="J25" s="29">
        <f t="shared" si="17"/>
        <v>74</v>
      </c>
      <c r="K25" s="30">
        <f t="shared" si="18"/>
        <v>0</v>
      </c>
      <c r="L25" s="28">
        <v>0</v>
      </c>
      <c r="M25" s="29">
        <f t="shared" si="19"/>
        <v>55</v>
      </c>
      <c r="N25" s="30">
        <f t="shared" si="20"/>
        <v>0</v>
      </c>
      <c r="O25" s="28">
        <v>0</v>
      </c>
      <c r="P25" s="29">
        <f t="shared" si="21"/>
        <v>39</v>
      </c>
      <c r="Q25" s="30">
        <f t="shared" si="22"/>
        <v>0</v>
      </c>
      <c r="R25" s="31">
        <f t="shared" si="23"/>
        <v>0</v>
      </c>
      <c r="S25" s="32">
        <f t="shared" si="24"/>
        <v>0</v>
      </c>
      <c r="T25" s="33" t="str">
        <f t="shared" si="25"/>
        <v/>
      </c>
    </row>
    <row r="26" spans="2:20" s="34" customFormat="1">
      <c r="B26" s="14" t="s">
        <v>124</v>
      </c>
      <c r="C26" s="19" t="s">
        <v>44</v>
      </c>
      <c r="D26" s="42" t="str">
        <f t="shared" si="13"/>
        <v>Eko Drustvo Duboko</v>
      </c>
      <c r="E26" s="42" t="str">
        <f t="shared" si="14"/>
        <v>Serbia</v>
      </c>
      <c r="F26" s="28">
        <v>0</v>
      </c>
      <c r="G26" s="29">
        <f t="shared" si="15"/>
        <v>88</v>
      </c>
      <c r="H26" s="30">
        <f t="shared" si="16"/>
        <v>0</v>
      </c>
      <c r="I26" s="28">
        <v>0</v>
      </c>
      <c r="J26" s="29">
        <f t="shared" si="17"/>
        <v>74</v>
      </c>
      <c r="K26" s="30">
        <f t="shared" si="18"/>
        <v>0</v>
      </c>
      <c r="L26" s="28">
        <v>0</v>
      </c>
      <c r="M26" s="29">
        <f t="shared" si="19"/>
        <v>55</v>
      </c>
      <c r="N26" s="30">
        <f t="shared" si="20"/>
        <v>0</v>
      </c>
      <c r="O26" s="28">
        <v>0</v>
      </c>
      <c r="P26" s="29">
        <f t="shared" si="21"/>
        <v>39</v>
      </c>
      <c r="Q26" s="30">
        <f t="shared" si="22"/>
        <v>0</v>
      </c>
      <c r="R26" s="31">
        <f t="shared" si="23"/>
        <v>0</v>
      </c>
      <c r="S26" s="32">
        <f t="shared" si="24"/>
        <v>0</v>
      </c>
      <c r="T26" s="33" t="str">
        <f t="shared" si="25"/>
        <v/>
      </c>
    </row>
    <row r="27" spans="2:20" s="34" customFormat="1">
      <c r="B27" s="14" t="s">
        <v>124</v>
      </c>
      <c r="C27" s="19" t="s">
        <v>46</v>
      </c>
      <c r="D27" s="42" t="str">
        <f t="shared" si="13"/>
        <v>Eko Albanija</v>
      </c>
      <c r="E27" s="42" t="str">
        <f t="shared" si="14"/>
        <v>Albania</v>
      </c>
      <c r="F27" s="28">
        <v>0</v>
      </c>
      <c r="G27" s="29">
        <f t="shared" si="15"/>
        <v>108</v>
      </c>
      <c r="H27" s="30">
        <f t="shared" si="16"/>
        <v>0</v>
      </c>
      <c r="I27" s="28">
        <v>0</v>
      </c>
      <c r="J27" s="29">
        <f t="shared" si="17"/>
        <v>80</v>
      </c>
      <c r="K27" s="30">
        <f t="shared" si="18"/>
        <v>0</v>
      </c>
      <c r="L27" s="28">
        <v>0</v>
      </c>
      <c r="M27" s="29">
        <f t="shared" si="19"/>
        <v>57</v>
      </c>
      <c r="N27" s="30">
        <f t="shared" si="20"/>
        <v>0</v>
      </c>
      <c r="O27" s="28">
        <v>0</v>
      </c>
      <c r="P27" s="29">
        <f t="shared" si="21"/>
        <v>45</v>
      </c>
      <c r="Q27" s="30">
        <f t="shared" si="22"/>
        <v>0</v>
      </c>
      <c r="R27" s="31">
        <f t="shared" si="23"/>
        <v>0</v>
      </c>
      <c r="S27" s="32">
        <f t="shared" si="24"/>
        <v>0</v>
      </c>
      <c r="T27" s="33" t="str">
        <f t="shared" si="25"/>
        <v/>
      </c>
    </row>
    <row r="28" spans="2:20" s="34" customFormat="1">
      <c r="B28" s="14" t="s">
        <v>124</v>
      </c>
      <c r="C28" s="19" t="s">
        <v>59</v>
      </c>
      <c r="D28" s="42" t="str">
        <f t="shared" si="13"/>
        <v>Arcturos</v>
      </c>
      <c r="E28" s="42" t="str">
        <f t="shared" si="14"/>
        <v>Greece</v>
      </c>
      <c r="F28" s="28">
        <v>0</v>
      </c>
      <c r="G28" s="29">
        <f t="shared" si="15"/>
        <v>164</v>
      </c>
      <c r="H28" s="30">
        <f t="shared" si="16"/>
        <v>0</v>
      </c>
      <c r="I28" s="28">
        <v>0</v>
      </c>
      <c r="J28" s="29">
        <f t="shared" si="17"/>
        <v>137</v>
      </c>
      <c r="K28" s="30">
        <f t="shared" si="18"/>
        <v>0</v>
      </c>
      <c r="L28" s="28">
        <v>0</v>
      </c>
      <c r="M28" s="29">
        <f t="shared" si="19"/>
        <v>102</v>
      </c>
      <c r="N28" s="30">
        <f t="shared" si="20"/>
        <v>0</v>
      </c>
      <c r="O28" s="28">
        <v>0</v>
      </c>
      <c r="P28" s="29">
        <f t="shared" si="21"/>
        <v>78</v>
      </c>
      <c r="Q28" s="30">
        <f t="shared" si="22"/>
        <v>0</v>
      </c>
      <c r="R28" s="31">
        <f t="shared" si="23"/>
        <v>0</v>
      </c>
      <c r="S28" s="32">
        <f t="shared" si="24"/>
        <v>0</v>
      </c>
      <c r="T28" s="33" t="str">
        <f t="shared" si="25"/>
        <v/>
      </c>
    </row>
    <row r="29" spans="2:20" s="34" customFormat="1">
      <c r="B29" s="14" t="s">
        <v>124</v>
      </c>
      <c r="C29" s="19" t="s">
        <v>54</v>
      </c>
      <c r="D29" s="42" t="str">
        <f t="shared" si="13"/>
        <v>BES</v>
      </c>
      <c r="E29" s="42" t="str">
        <f t="shared" si="14"/>
        <v>Bulgaria</v>
      </c>
      <c r="F29" s="28">
        <v>0</v>
      </c>
      <c r="G29" s="29">
        <f t="shared" si="15"/>
        <v>88</v>
      </c>
      <c r="H29" s="30">
        <f t="shared" si="16"/>
        <v>0</v>
      </c>
      <c r="I29" s="28">
        <v>0</v>
      </c>
      <c r="J29" s="29">
        <f t="shared" si="17"/>
        <v>74</v>
      </c>
      <c r="K29" s="30">
        <f t="shared" si="18"/>
        <v>0</v>
      </c>
      <c r="L29" s="28">
        <v>0</v>
      </c>
      <c r="M29" s="29">
        <f t="shared" si="19"/>
        <v>55</v>
      </c>
      <c r="N29" s="30">
        <f t="shared" si="20"/>
        <v>0</v>
      </c>
      <c r="O29" s="28">
        <v>0</v>
      </c>
      <c r="P29" s="29">
        <f t="shared" si="21"/>
        <v>39</v>
      </c>
      <c r="Q29" s="30">
        <f t="shared" si="22"/>
        <v>0</v>
      </c>
      <c r="R29" s="31">
        <f t="shared" si="23"/>
        <v>0</v>
      </c>
      <c r="S29" s="32">
        <f t="shared" si="24"/>
        <v>0</v>
      </c>
      <c r="T29" s="33" t="str">
        <f t="shared" si="25"/>
        <v/>
      </c>
    </row>
    <row r="30" spans="2:20" s="34" customFormat="1">
      <c r="B30" s="14" t="s">
        <v>124</v>
      </c>
      <c r="C30" s="19" t="s">
        <v>49</v>
      </c>
      <c r="D30" s="42" t="str">
        <f t="shared" si="13"/>
        <v>Ekoloski Pokret Ibar</v>
      </c>
      <c r="E30" s="42" t="str">
        <f t="shared" si="14"/>
        <v>Serbia</v>
      </c>
      <c r="F30" s="28">
        <v>0</v>
      </c>
      <c r="G30" s="29">
        <f t="shared" si="15"/>
        <v>88</v>
      </c>
      <c r="H30" s="30">
        <f t="shared" si="16"/>
        <v>0</v>
      </c>
      <c r="I30" s="28">
        <v>0</v>
      </c>
      <c r="J30" s="29">
        <f t="shared" si="17"/>
        <v>74</v>
      </c>
      <c r="K30" s="30">
        <f t="shared" si="18"/>
        <v>0</v>
      </c>
      <c r="L30" s="28">
        <v>0</v>
      </c>
      <c r="M30" s="29">
        <f t="shared" si="19"/>
        <v>55</v>
      </c>
      <c r="N30" s="30">
        <f t="shared" si="20"/>
        <v>0</v>
      </c>
      <c r="O30" s="28">
        <v>0</v>
      </c>
      <c r="P30" s="29">
        <f t="shared" si="21"/>
        <v>39</v>
      </c>
      <c r="Q30" s="30">
        <f t="shared" si="22"/>
        <v>0</v>
      </c>
      <c r="R30" s="31">
        <f t="shared" si="23"/>
        <v>0</v>
      </c>
      <c r="S30" s="32">
        <f t="shared" si="24"/>
        <v>0</v>
      </c>
      <c r="T30" s="33" t="str">
        <f t="shared" si="25"/>
        <v/>
      </c>
    </row>
    <row r="31" spans="2:20" s="34" customFormat="1">
      <c r="B31" s="14" t="s">
        <v>124</v>
      </c>
      <c r="C31" s="19" t="s">
        <v>31</v>
      </c>
      <c r="D31" s="42" t="str">
        <f t="shared" si="13"/>
        <v>Zelena Lista Srbije</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0</v>
      </c>
      <c r="P31" s="29">
        <f t="shared" si="21"/>
        <v>39</v>
      </c>
      <c r="Q31" s="30">
        <f t="shared" si="22"/>
        <v>0</v>
      </c>
      <c r="R31" s="31">
        <f t="shared" si="23"/>
        <v>0</v>
      </c>
      <c r="S31" s="32">
        <f t="shared" si="24"/>
        <v>0</v>
      </c>
      <c r="T31" s="33" t="str">
        <f t="shared" si="25"/>
        <v/>
      </c>
    </row>
    <row r="32" spans="2:20" s="34" customFormat="1">
      <c r="B32" s="14" t="s">
        <v>124</v>
      </c>
      <c r="C32" s="19" t="s">
        <v>57</v>
      </c>
      <c r="D32" s="42" t="str">
        <f t="shared" si="13"/>
        <v xml:space="preserve">Zeleni Kljuc </v>
      </c>
      <c r="E32" s="42" t="str">
        <f t="shared" si="14"/>
        <v>Serbia</v>
      </c>
      <c r="F32" s="28">
        <v>0</v>
      </c>
      <c r="G32" s="29">
        <f t="shared" si="15"/>
        <v>88</v>
      </c>
      <c r="H32" s="30">
        <f t="shared" si="16"/>
        <v>0</v>
      </c>
      <c r="I32" s="28">
        <v>0</v>
      </c>
      <c r="J32" s="29">
        <f t="shared" si="17"/>
        <v>74</v>
      </c>
      <c r="K32" s="30">
        <f t="shared" si="18"/>
        <v>0</v>
      </c>
      <c r="L32" s="28">
        <v>0</v>
      </c>
      <c r="M32" s="29">
        <f t="shared" si="19"/>
        <v>55</v>
      </c>
      <c r="N32" s="30">
        <f t="shared" si="20"/>
        <v>0</v>
      </c>
      <c r="O32" s="28">
        <v>0</v>
      </c>
      <c r="P32" s="29">
        <f t="shared" si="21"/>
        <v>39</v>
      </c>
      <c r="Q32" s="30">
        <f t="shared" si="22"/>
        <v>0</v>
      </c>
      <c r="R32" s="31">
        <f t="shared" si="23"/>
        <v>0</v>
      </c>
      <c r="S32" s="32">
        <f t="shared" si="24"/>
        <v>0</v>
      </c>
      <c r="T32" s="33" t="str">
        <f t="shared" si="25"/>
        <v/>
      </c>
    </row>
    <row r="33" spans="2:20" s="34" customFormat="1">
      <c r="B33" s="14" t="s">
        <v>124</v>
      </c>
      <c r="C33" s="19" t="s">
        <v>33</v>
      </c>
      <c r="D33" s="42" t="str">
        <f t="shared" si="13"/>
        <v xml:space="preserve">TURMEPA </v>
      </c>
      <c r="E33" s="42" t="str">
        <f t="shared" si="14"/>
        <v>Turkey</v>
      </c>
      <c r="F33" s="28">
        <v>0</v>
      </c>
      <c r="G33" s="29">
        <f t="shared" si="15"/>
        <v>88</v>
      </c>
      <c r="H33" s="30">
        <f t="shared" si="16"/>
        <v>0</v>
      </c>
      <c r="I33" s="28">
        <v>0</v>
      </c>
      <c r="J33" s="29">
        <f t="shared" si="17"/>
        <v>74</v>
      </c>
      <c r="K33" s="30">
        <f t="shared" si="18"/>
        <v>0</v>
      </c>
      <c r="L33" s="28">
        <v>0</v>
      </c>
      <c r="M33" s="29">
        <f t="shared" si="19"/>
        <v>55</v>
      </c>
      <c r="N33" s="30">
        <f t="shared" si="20"/>
        <v>0</v>
      </c>
      <c r="O33" s="28">
        <v>0</v>
      </c>
      <c r="P33" s="29">
        <f t="shared" si="21"/>
        <v>39</v>
      </c>
      <c r="Q33" s="30">
        <f t="shared" si="22"/>
        <v>0</v>
      </c>
      <c r="R33" s="31">
        <f t="shared" si="23"/>
        <v>0</v>
      </c>
      <c r="S33" s="32">
        <f t="shared" si="24"/>
        <v>0</v>
      </c>
      <c r="T33" s="33" t="str">
        <f t="shared" si="25"/>
        <v/>
      </c>
    </row>
    <row r="34" spans="2:20" s="34" customFormat="1">
      <c r="B34" s="14" t="s">
        <v>124</v>
      </c>
      <c r="C34" s="19" t="s">
        <v>36</v>
      </c>
      <c r="D34" s="42" t="str">
        <f t="shared" si="13"/>
        <v>Ozon</v>
      </c>
      <c r="E34" s="42" t="str">
        <f t="shared" si="14"/>
        <v>Montenegro</v>
      </c>
      <c r="F34" s="28">
        <v>0</v>
      </c>
      <c r="G34" s="29">
        <f t="shared" si="15"/>
        <v>108</v>
      </c>
      <c r="H34" s="30">
        <f t="shared" si="16"/>
        <v>0</v>
      </c>
      <c r="I34" s="28">
        <v>0</v>
      </c>
      <c r="J34" s="29">
        <f t="shared" si="17"/>
        <v>80</v>
      </c>
      <c r="K34" s="30">
        <f t="shared" si="18"/>
        <v>0</v>
      </c>
      <c r="L34" s="28">
        <v>0</v>
      </c>
      <c r="M34" s="29">
        <f t="shared" si="19"/>
        <v>57</v>
      </c>
      <c r="N34" s="30">
        <f t="shared" si="20"/>
        <v>0</v>
      </c>
      <c r="O34" s="28">
        <v>0</v>
      </c>
      <c r="P34" s="29">
        <f t="shared" si="21"/>
        <v>45</v>
      </c>
      <c r="Q34" s="30">
        <f t="shared" si="22"/>
        <v>0</v>
      </c>
      <c r="R34" s="31">
        <f t="shared" si="23"/>
        <v>0</v>
      </c>
      <c r="S34" s="32">
        <f t="shared" si="24"/>
        <v>0</v>
      </c>
      <c r="T34" s="33" t="str">
        <f t="shared" si="25"/>
        <v/>
      </c>
    </row>
    <row r="35" spans="2:20" s="34" customFormat="1">
      <c r="B35" s="14" t="s">
        <v>124</v>
      </c>
      <c r="C35" s="19" t="s">
        <v>28</v>
      </c>
      <c r="D35" s="42" t="str">
        <f t="shared" si="13"/>
        <v>TeamChatGPT</v>
      </c>
      <c r="E35" s="42" t="str">
        <f t="shared" si="14"/>
        <v>Serbia</v>
      </c>
      <c r="F35" s="28">
        <v>0</v>
      </c>
      <c r="G35" s="29">
        <f t="shared" si="15"/>
        <v>88</v>
      </c>
      <c r="H35" s="30">
        <f t="shared" si="16"/>
        <v>0</v>
      </c>
      <c r="I35" s="28">
        <v>0</v>
      </c>
      <c r="J35" s="29">
        <f t="shared" si="17"/>
        <v>74</v>
      </c>
      <c r="K35" s="30">
        <f t="shared" si="18"/>
        <v>0</v>
      </c>
      <c r="L35" s="28">
        <v>0</v>
      </c>
      <c r="M35" s="29">
        <f t="shared" si="19"/>
        <v>55</v>
      </c>
      <c r="N35" s="30">
        <f t="shared" si="20"/>
        <v>0</v>
      </c>
      <c r="O35" s="28">
        <v>0</v>
      </c>
      <c r="P35" s="29">
        <f t="shared" si="21"/>
        <v>39</v>
      </c>
      <c r="Q35" s="30">
        <f t="shared" si="22"/>
        <v>0</v>
      </c>
      <c r="R35" s="31">
        <f t="shared" si="23"/>
        <v>0</v>
      </c>
      <c r="S35" s="32">
        <f t="shared" si="24"/>
        <v>0</v>
      </c>
      <c r="T35" s="33" t="str">
        <f t="shared" si="25"/>
        <v/>
      </c>
    </row>
    <row r="36" spans="2:20" s="34" customFormat="1">
      <c r="B36" s="14" t="s">
        <v>124</v>
      </c>
      <c r="C36" s="19" t="s">
        <v>51</v>
      </c>
      <c r="D36" s="42" t="str">
        <f t="shared" si="13"/>
        <v xml:space="preserve">BUND </v>
      </c>
      <c r="E36" s="42" t="str">
        <f t="shared" si="14"/>
        <v>Germany</v>
      </c>
      <c r="F36" s="28">
        <v>0</v>
      </c>
      <c r="G36" s="29">
        <f t="shared" si="15"/>
        <v>280</v>
      </c>
      <c r="H36" s="30">
        <f t="shared" si="16"/>
        <v>0</v>
      </c>
      <c r="I36" s="28">
        <v>0</v>
      </c>
      <c r="J36" s="29">
        <f t="shared" si="17"/>
        <v>214</v>
      </c>
      <c r="K36" s="30">
        <f t="shared" si="18"/>
        <v>0</v>
      </c>
      <c r="L36" s="28">
        <v>0</v>
      </c>
      <c r="M36" s="29">
        <f t="shared" si="19"/>
        <v>162</v>
      </c>
      <c r="N36" s="30">
        <f t="shared" si="20"/>
        <v>0</v>
      </c>
      <c r="O36" s="28">
        <v>0</v>
      </c>
      <c r="P36" s="29">
        <f t="shared" si="21"/>
        <v>131</v>
      </c>
      <c r="Q36" s="30">
        <f t="shared" si="22"/>
        <v>0</v>
      </c>
      <c r="R36" s="31">
        <f t="shared" si="23"/>
        <v>0</v>
      </c>
      <c r="S36" s="32">
        <f t="shared" si="24"/>
        <v>0</v>
      </c>
      <c r="T36" s="33" t="str">
        <f t="shared" si="25"/>
        <v/>
      </c>
    </row>
    <row r="37" spans="2:20" s="34" customFormat="1">
      <c r="B37" s="14" t="s">
        <v>125</v>
      </c>
      <c r="C37" s="19" t="s">
        <v>41</v>
      </c>
      <c r="D37" s="42" t="str">
        <f t="shared" si="13"/>
        <v xml:space="preserve">Udruga Eko </v>
      </c>
      <c r="E37" s="42" t="str">
        <f t="shared" si="14"/>
        <v>Croatia</v>
      </c>
      <c r="F37" s="28">
        <v>90</v>
      </c>
      <c r="G37" s="29">
        <f t="shared" si="15"/>
        <v>88</v>
      </c>
      <c r="H37" s="30">
        <f t="shared" si="16"/>
        <v>7920</v>
      </c>
      <c r="I37" s="28">
        <v>0</v>
      </c>
      <c r="J37" s="29">
        <f t="shared" si="17"/>
        <v>74</v>
      </c>
      <c r="K37" s="30">
        <f t="shared" si="18"/>
        <v>0</v>
      </c>
      <c r="L37" s="28">
        <v>0</v>
      </c>
      <c r="M37" s="29">
        <f t="shared" si="19"/>
        <v>55</v>
      </c>
      <c r="N37" s="30">
        <f t="shared" si="20"/>
        <v>0</v>
      </c>
      <c r="O37" s="28">
        <v>0</v>
      </c>
      <c r="P37" s="29">
        <f t="shared" si="21"/>
        <v>39</v>
      </c>
      <c r="Q37" s="30">
        <f t="shared" si="22"/>
        <v>0</v>
      </c>
      <c r="R37" s="31">
        <f t="shared" si="23"/>
        <v>90</v>
      </c>
      <c r="S37" s="32">
        <f t="shared" si="24"/>
        <v>7920</v>
      </c>
      <c r="T37" s="33" t="str">
        <f t="shared" si="25"/>
        <v/>
      </c>
    </row>
    <row r="38" spans="2:20" s="34" customFormat="1">
      <c r="B38" s="14" t="s">
        <v>125</v>
      </c>
      <c r="C38" s="19" t="s">
        <v>44</v>
      </c>
      <c r="D38" s="42" t="str">
        <f t="shared" si="13"/>
        <v>Eko Drustvo Duboko</v>
      </c>
      <c r="E38" s="42" t="str">
        <f t="shared" si="14"/>
        <v>Serbia</v>
      </c>
      <c r="F38" s="28">
        <v>90</v>
      </c>
      <c r="G38" s="29">
        <f t="shared" si="15"/>
        <v>88</v>
      </c>
      <c r="H38" s="30">
        <f t="shared" si="16"/>
        <v>7920</v>
      </c>
      <c r="I38" s="28">
        <v>0</v>
      </c>
      <c r="J38" s="29">
        <f t="shared" si="17"/>
        <v>74</v>
      </c>
      <c r="K38" s="30">
        <f t="shared" si="18"/>
        <v>0</v>
      </c>
      <c r="L38" s="28">
        <v>0</v>
      </c>
      <c r="M38" s="29">
        <f t="shared" si="19"/>
        <v>55</v>
      </c>
      <c r="N38" s="30">
        <f t="shared" si="20"/>
        <v>0</v>
      </c>
      <c r="O38" s="28">
        <v>0</v>
      </c>
      <c r="P38" s="29">
        <f t="shared" si="21"/>
        <v>39</v>
      </c>
      <c r="Q38" s="30">
        <f t="shared" si="22"/>
        <v>0</v>
      </c>
      <c r="R38" s="31">
        <f t="shared" si="23"/>
        <v>90</v>
      </c>
      <c r="S38" s="32">
        <f t="shared" si="24"/>
        <v>7920</v>
      </c>
      <c r="T38" s="33" t="str">
        <f t="shared" si="25"/>
        <v/>
      </c>
    </row>
    <row r="39" spans="2:20" s="34" customFormat="1">
      <c r="B39" s="14" t="s">
        <v>125</v>
      </c>
      <c r="C39" s="19" t="s">
        <v>46</v>
      </c>
      <c r="D39" s="42" t="str">
        <f t="shared" si="13"/>
        <v>Eko Albanija</v>
      </c>
      <c r="E39" s="42" t="str">
        <f t="shared" si="14"/>
        <v>Albania</v>
      </c>
      <c r="F39" s="28">
        <v>90</v>
      </c>
      <c r="G39" s="29">
        <f t="shared" si="15"/>
        <v>108</v>
      </c>
      <c r="H39" s="30">
        <f t="shared" si="16"/>
        <v>9720</v>
      </c>
      <c r="I39" s="28">
        <v>0</v>
      </c>
      <c r="J39" s="29">
        <f t="shared" si="17"/>
        <v>80</v>
      </c>
      <c r="K39" s="30">
        <f t="shared" si="18"/>
        <v>0</v>
      </c>
      <c r="L39" s="28">
        <v>0</v>
      </c>
      <c r="M39" s="29">
        <f t="shared" si="19"/>
        <v>57</v>
      </c>
      <c r="N39" s="30">
        <f t="shared" si="20"/>
        <v>0</v>
      </c>
      <c r="O39" s="28">
        <v>0</v>
      </c>
      <c r="P39" s="29">
        <f t="shared" si="21"/>
        <v>45</v>
      </c>
      <c r="Q39" s="30">
        <f t="shared" si="22"/>
        <v>0</v>
      </c>
      <c r="R39" s="31">
        <f t="shared" si="23"/>
        <v>90</v>
      </c>
      <c r="S39" s="32">
        <f t="shared" si="24"/>
        <v>9720</v>
      </c>
      <c r="T39" s="33" t="str">
        <f t="shared" si="25"/>
        <v/>
      </c>
    </row>
    <row r="40" spans="2:20" s="34" customFormat="1">
      <c r="B40" s="14" t="s">
        <v>125</v>
      </c>
      <c r="C40" s="19" t="s">
        <v>59</v>
      </c>
      <c r="D40" s="42" t="str">
        <f t="shared" si="13"/>
        <v>Arcturos</v>
      </c>
      <c r="E40" s="42" t="str">
        <f t="shared" si="14"/>
        <v>Greece</v>
      </c>
      <c r="F40" s="28">
        <v>97</v>
      </c>
      <c r="G40" s="29">
        <f t="shared" si="15"/>
        <v>164</v>
      </c>
      <c r="H40" s="30">
        <f t="shared" si="16"/>
        <v>15908</v>
      </c>
      <c r="I40" s="28">
        <v>0</v>
      </c>
      <c r="J40" s="29">
        <f t="shared" si="17"/>
        <v>137</v>
      </c>
      <c r="K40" s="30">
        <f t="shared" si="18"/>
        <v>0</v>
      </c>
      <c r="L40" s="28">
        <v>0</v>
      </c>
      <c r="M40" s="29">
        <f t="shared" si="19"/>
        <v>102</v>
      </c>
      <c r="N40" s="30">
        <f t="shared" si="20"/>
        <v>0</v>
      </c>
      <c r="O40" s="28">
        <v>0</v>
      </c>
      <c r="P40" s="29">
        <f t="shared" si="21"/>
        <v>78</v>
      </c>
      <c r="Q40" s="30">
        <f t="shared" si="22"/>
        <v>0</v>
      </c>
      <c r="R40" s="31">
        <f t="shared" si="23"/>
        <v>97</v>
      </c>
      <c r="S40" s="32">
        <f t="shared" si="24"/>
        <v>15908</v>
      </c>
      <c r="T40" s="33" t="str">
        <f t="shared" si="25"/>
        <v/>
      </c>
    </row>
    <row r="41" spans="2:20" s="34" customFormat="1">
      <c r="B41" s="14" t="s">
        <v>125</v>
      </c>
      <c r="C41" s="19" t="s">
        <v>54</v>
      </c>
      <c r="D41" s="42" t="str">
        <f t="shared" si="13"/>
        <v>BES</v>
      </c>
      <c r="E41" s="42" t="str">
        <f t="shared" si="14"/>
        <v>Bulgaria</v>
      </c>
      <c r="F41" s="28">
        <v>90</v>
      </c>
      <c r="G41" s="29">
        <f t="shared" si="15"/>
        <v>88</v>
      </c>
      <c r="H41" s="30">
        <f t="shared" si="16"/>
        <v>7920</v>
      </c>
      <c r="I41" s="28">
        <v>0</v>
      </c>
      <c r="J41" s="29">
        <f t="shared" si="17"/>
        <v>74</v>
      </c>
      <c r="K41" s="30">
        <f t="shared" si="18"/>
        <v>0</v>
      </c>
      <c r="L41" s="28">
        <v>0</v>
      </c>
      <c r="M41" s="29">
        <f t="shared" si="19"/>
        <v>55</v>
      </c>
      <c r="N41" s="30">
        <f t="shared" si="20"/>
        <v>0</v>
      </c>
      <c r="O41" s="28">
        <v>0</v>
      </c>
      <c r="P41" s="29">
        <f t="shared" si="21"/>
        <v>39</v>
      </c>
      <c r="Q41" s="30">
        <f t="shared" si="22"/>
        <v>0</v>
      </c>
      <c r="R41" s="31">
        <f t="shared" si="23"/>
        <v>90</v>
      </c>
      <c r="S41" s="32">
        <f t="shared" si="24"/>
        <v>7920</v>
      </c>
      <c r="T41" s="33" t="str">
        <f t="shared" si="25"/>
        <v/>
      </c>
    </row>
    <row r="42" spans="2:20" s="34" customFormat="1">
      <c r="B42" s="14" t="s">
        <v>125</v>
      </c>
      <c r="C42" s="19" t="s">
        <v>49</v>
      </c>
      <c r="D42" s="42" t="str">
        <f t="shared" si="13"/>
        <v>Ekoloski Pokret Ibar</v>
      </c>
      <c r="E42" s="42" t="str">
        <f t="shared" si="14"/>
        <v>Serbia</v>
      </c>
      <c r="F42" s="28">
        <v>90</v>
      </c>
      <c r="G42" s="29">
        <f t="shared" si="15"/>
        <v>88</v>
      </c>
      <c r="H42" s="30">
        <f t="shared" si="16"/>
        <v>7920</v>
      </c>
      <c r="I42" s="28">
        <v>0</v>
      </c>
      <c r="J42" s="29">
        <f t="shared" si="17"/>
        <v>74</v>
      </c>
      <c r="K42" s="30">
        <f t="shared" si="18"/>
        <v>0</v>
      </c>
      <c r="L42" s="28">
        <v>0</v>
      </c>
      <c r="M42" s="29">
        <f t="shared" si="19"/>
        <v>55</v>
      </c>
      <c r="N42" s="30">
        <f t="shared" si="20"/>
        <v>0</v>
      </c>
      <c r="O42" s="28">
        <v>0</v>
      </c>
      <c r="P42" s="29">
        <f t="shared" si="21"/>
        <v>39</v>
      </c>
      <c r="Q42" s="30">
        <f t="shared" si="22"/>
        <v>0</v>
      </c>
      <c r="R42" s="31">
        <f t="shared" si="23"/>
        <v>90</v>
      </c>
      <c r="S42" s="32">
        <f t="shared" si="24"/>
        <v>7920</v>
      </c>
      <c r="T42" s="33" t="str">
        <f t="shared" si="25"/>
        <v/>
      </c>
    </row>
    <row r="43" spans="2:20" s="34" customFormat="1">
      <c r="B43" s="14" t="s">
        <v>125</v>
      </c>
      <c r="C43" s="19" t="s">
        <v>31</v>
      </c>
      <c r="D43" s="42" t="str">
        <f t="shared" si="13"/>
        <v>Zelena Lista Srbije</v>
      </c>
      <c r="E43" s="42" t="str">
        <f t="shared" si="14"/>
        <v>Serbia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c r="B44" s="14" t="s">
        <v>125</v>
      </c>
      <c r="C44" s="19" t="s">
        <v>57</v>
      </c>
      <c r="D44" s="42" t="str">
        <f t="shared" si="13"/>
        <v xml:space="preserve">Zeleni Kljuc </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c r="B45" s="14" t="s">
        <v>125</v>
      </c>
      <c r="C45" s="19" t="s">
        <v>33</v>
      </c>
      <c r="D45" s="42" t="str">
        <f t="shared" si="13"/>
        <v xml:space="preserve">TURMEPA </v>
      </c>
      <c r="E45" s="42" t="str">
        <f t="shared" si="14"/>
        <v>Turkey</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c r="B46" s="14" t="s">
        <v>125</v>
      </c>
      <c r="C46" s="19" t="s">
        <v>28</v>
      </c>
      <c r="D46" s="42" t="str">
        <f t="shared" si="13"/>
        <v>TeamChatGPT</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c r="B47" s="14" t="s">
        <v>125</v>
      </c>
      <c r="C47" s="19" t="s">
        <v>39</v>
      </c>
      <c r="D47" s="42" t="str">
        <f t="shared" si="13"/>
        <v>Eko Centar Srbija</v>
      </c>
      <c r="E47" s="42" t="str">
        <f t="shared" si="14"/>
        <v>Serbia</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c r="B48" s="14" t="s">
        <v>126</v>
      </c>
      <c r="C48" s="19" t="s">
        <v>28</v>
      </c>
      <c r="D48" s="42" t="str">
        <f t="shared" si="13"/>
        <v>TeamChatGPT</v>
      </c>
      <c r="E48" s="42" t="str">
        <f t="shared" si="14"/>
        <v>Serbia</v>
      </c>
      <c r="F48" s="28">
        <v>0</v>
      </c>
      <c r="G48" s="29">
        <f t="shared" si="15"/>
        <v>88</v>
      </c>
      <c r="H48" s="30">
        <f t="shared" si="16"/>
        <v>0</v>
      </c>
      <c r="I48" s="28">
        <v>0</v>
      </c>
      <c r="J48" s="29">
        <f t="shared" si="17"/>
        <v>74</v>
      </c>
      <c r="K48" s="30">
        <f t="shared" si="18"/>
        <v>0</v>
      </c>
      <c r="L48" s="28">
        <v>0</v>
      </c>
      <c r="M48" s="29">
        <f t="shared" si="19"/>
        <v>55</v>
      </c>
      <c r="N48" s="30">
        <f t="shared" si="20"/>
        <v>0</v>
      </c>
      <c r="O48" s="28">
        <v>0</v>
      </c>
      <c r="P48" s="29">
        <f t="shared" si="21"/>
        <v>39</v>
      </c>
      <c r="Q48" s="30">
        <f t="shared" si="22"/>
        <v>0</v>
      </c>
      <c r="R48" s="31">
        <f t="shared" si="23"/>
        <v>0</v>
      </c>
      <c r="S48" s="32">
        <f t="shared" si="24"/>
        <v>0</v>
      </c>
      <c r="T48" s="33" t="str">
        <f t="shared" si="25"/>
        <v/>
      </c>
    </row>
    <row r="49" spans="2:20" s="34" customFormat="1">
      <c r="B49" s="14" t="s">
        <v>126</v>
      </c>
      <c r="C49" s="19" t="s">
        <v>57</v>
      </c>
      <c r="D49" s="42" t="str">
        <f t="shared" si="13"/>
        <v xml:space="preserve">Zeleni Kljuc </v>
      </c>
      <c r="E49" s="42" t="str">
        <f t="shared" si="14"/>
        <v>Serbia</v>
      </c>
      <c r="F49" s="28">
        <v>0</v>
      </c>
      <c r="G49" s="29">
        <f t="shared" si="15"/>
        <v>88</v>
      </c>
      <c r="H49" s="30">
        <f t="shared" si="16"/>
        <v>0</v>
      </c>
      <c r="I49" s="28">
        <v>0</v>
      </c>
      <c r="J49" s="29">
        <f t="shared" si="17"/>
        <v>74</v>
      </c>
      <c r="K49" s="30">
        <f t="shared" si="18"/>
        <v>0</v>
      </c>
      <c r="L49" s="28">
        <v>0</v>
      </c>
      <c r="M49" s="29">
        <f t="shared" si="19"/>
        <v>55</v>
      </c>
      <c r="N49" s="30">
        <f t="shared" si="20"/>
        <v>0</v>
      </c>
      <c r="O49" s="28">
        <v>0</v>
      </c>
      <c r="P49" s="29">
        <f t="shared" si="21"/>
        <v>39</v>
      </c>
      <c r="Q49" s="30">
        <f t="shared" si="22"/>
        <v>0</v>
      </c>
      <c r="R49" s="31">
        <f t="shared" si="23"/>
        <v>0</v>
      </c>
      <c r="S49" s="32">
        <f t="shared" si="24"/>
        <v>0</v>
      </c>
      <c r="T49" s="33" t="str">
        <f t="shared" si="25"/>
        <v/>
      </c>
    </row>
    <row r="50" spans="2:20" s="34" customFormat="1">
      <c r="B50" s="14" t="s">
        <v>127</v>
      </c>
      <c r="C50" s="19" t="s">
        <v>41</v>
      </c>
      <c r="D50" s="42" t="str">
        <f t="shared" si="13"/>
        <v xml:space="preserve">Udruga Eko </v>
      </c>
      <c r="E50" s="42" t="str">
        <f t="shared" si="14"/>
        <v>Croatia</v>
      </c>
      <c r="F50" s="28">
        <v>20</v>
      </c>
      <c r="G50" s="29">
        <f t="shared" si="15"/>
        <v>88</v>
      </c>
      <c r="H50" s="30">
        <f t="shared" si="16"/>
        <v>1760</v>
      </c>
      <c r="I50" s="28">
        <v>0</v>
      </c>
      <c r="J50" s="29">
        <f t="shared" si="17"/>
        <v>74</v>
      </c>
      <c r="K50" s="30">
        <f t="shared" si="18"/>
        <v>0</v>
      </c>
      <c r="L50" s="28">
        <v>0</v>
      </c>
      <c r="M50" s="29">
        <f t="shared" si="19"/>
        <v>55</v>
      </c>
      <c r="N50" s="30">
        <f t="shared" si="20"/>
        <v>0</v>
      </c>
      <c r="O50" s="28">
        <v>0</v>
      </c>
      <c r="P50" s="29">
        <f t="shared" si="21"/>
        <v>39</v>
      </c>
      <c r="Q50" s="30">
        <f t="shared" si="22"/>
        <v>0</v>
      </c>
      <c r="R50" s="31">
        <f t="shared" si="23"/>
        <v>20</v>
      </c>
      <c r="S50" s="32">
        <f t="shared" si="24"/>
        <v>1760</v>
      </c>
      <c r="T50" s="33" t="str">
        <f t="shared" si="25"/>
        <v/>
      </c>
    </row>
    <row r="51" spans="2:20" s="34" customFormat="1">
      <c r="B51" s="14" t="s">
        <v>127</v>
      </c>
      <c r="C51" s="19" t="s">
        <v>44</v>
      </c>
      <c r="D51" s="42" t="str">
        <f t="shared" si="13"/>
        <v>Eko Drustvo Duboko</v>
      </c>
      <c r="E51" s="42" t="str">
        <f t="shared" si="14"/>
        <v>Serbia</v>
      </c>
      <c r="F51" s="28">
        <v>20</v>
      </c>
      <c r="G51" s="29">
        <f t="shared" si="15"/>
        <v>88</v>
      </c>
      <c r="H51" s="30">
        <f t="shared" si="16"/>
        <v>1760</v>
      </c>
      <c r="I51" s="28">
        <v>0</v>
      </c>
      <c r="J51" s="29">
        <f t="shared" si="17"/>
        <v>74</v>
      </c>
      <c r="K51" s="30">
        <f t="shared" si="18"/>
        <v>0</v>
      </c>
      <c r="L51" s="28">
        <v>0</v>
      </c>
      <c r="M51" s="29">
        <f t="shared" si="19"/>
        <v>55</v>
      </c>
      <c r="N51" s="30">
        <f t="shared" si="20"/>
        <v>0</v>
      </c>
      <c r="O51" s="28">
        <v>0</v>
      </c>
      <c r="P51" s="29">
        <f t="shared" si="21"/>
        <v>39</v>
      </c>
      <c r="Q51" s="30">
        <f t="shared" si="22"/>
        <v>0</v>
      </c>
      <c r="R51" s="31">
        <f t="shared" si="23"/>
        <v>20</v>
      </c>
      <c r="S51" s="32">
        <f t="shared" si="24"/>
        <v>1760</v>
      </c>
      <c r="T51" s="33" t="str">
        <f t="shared" si="25"/>
        <v/>
      </c>
    </row>
    <row r="52" spans="2:20" s="34" customFormat="1">
      <c r="B52" s="14" t="s">
        <v>127</v>
      </c>
      <c r="C52" s="19" t="s">
        <v>46</v>
      </c>
      <c r="D52" s="42" t="str">
        <f t="shared" si="13"/>
        <v>Eko Albanija</v>
      </c>
      <c r="E52" s="42" t="str">
        <f t="shared" si="14"/>
        <v>Albania</v>
      </c>
      <c r="F52" s="28">
        <v>20</v>
      </c>
      <c r="G52" s="29">
        <f t="shared" si="15"/>
        <v>108</v>
      </c>
      <c r="H52" s="30">
        <f t="shared" si="16"/>
        <v>2160</v>
      </c>
      <c r="I52" s="28">
        <v>0</v>
      </c>
      <c r="J52" s="29">
        <f t="shared" si="17"/>
        <v>80</v>
      </c>
      <c r="K52" s="30">
        <f t="shared" si="18"/>
        <v>0</v>
      </c>
      <c r="L52" s="28">
        <v>0</v>
      </c>
      <c r="M52" s="29">
        <f t="shared" si="19"/>
        <v>57</v>
      </c>
      <c r="N52" s="30">
        <f t="shared" si="20"/>
        <v>0</v>
      </c>
      <c r="O52" s="28">
        <v>0</v>
      </c>
      <c r="P52" s="29">
        <f t="shared" si="21"/>
        <v>45</v>
      </c>
      <c r="Q52" s="30">
        <f t="shared" si="22"/>
        <v>0</v>
      </c>
      <c r="R52" s="31">
        <f t="shared" si="23"/>
        <v>20</v>
      </c>
      <c r="S52" s="32">
        <f t="shared" si="24"/>
        <v>2160</v>
      </c>
      <c r="T52" s="33" t="str">
        <f t="shared" si="25"/>
        <v/>
      </c>
    </row>
    <row r="53" spans="2:20" s="34" customFormat="1">
      <c r="B53" s="14" t="s">
        <v>127</v>
      </c>
      <c r="C53" s="19" t="s">
        <v>59</v>
      </c>
      <c r="D53" s="42" t="str">
        <f t="shared" si="13"/>
        <v>Arcturos</v>
      </c>
      <c r="E53" s="42" t="str">
        <f t="shared" si="14"/>
        <v>Greece</v>
      </c>
      <c r="F53" s="28">
        <v>40</v>
      </c>
      <c r="G53" s="29">
        <f t="shared" si="15"/>
        <v>164</v>
      </c>
      <c r="H53" s="30">
        <f t="shared" si="16"/>
        <v>6560</v>
      </c>
      <c r="I53" s="28">
        <v>0</v>
      </c>
      <c r="J53" s="29">
        <f t="shared" si="17"/>
        <v>137</v>
      </c>
      <c r="K53" s="30">
        <f t="shared" si="18"/>
        <v>0</v>
      </c>
      <c r="L53" s="28">
        <v>0</v>
      </c>
      <c r="M53" s="29">
        <f t="shared" si="19"/>
        <v>102</v>
      </c>
      <c r="N53" s="30">
        <f t="shared" si="20"/>
        <v>0</v>
      </c>
      <c r="O53" s="28">
        <v>0</v>
      </c>
      <c r="P53" s="29">
        <f t="shared" si="21"/>
        <v>78</v>
      </c>
      <c r="Q53" s="30">
        <f t="shared" si="22"/>
        <v>0</v>
      </c>
      <c r="R53" s="31">
        <f t="shared" si="23"/>
        <v>40</v>
      </c>
      <c r="S53" s="32">
        <f t="shared" si="24"/>
        <v>6560</v>
      </c>
      <c r="T53" s="33" t="str">
        <f t="shared" si="25"/>
        <v/>
      </c>
    </row>
    <row r="54" spans="2:20" s="34" customFormat="1">
      <c r="B54" s="14" t="s">
        <v>127</v>
      </c>
      <c r="C54" s="19" t="s">
        <v>54</v>
      </c>
      <c r="D54" s="42" t="str">
        <f t="shared" si="13"/>
        <v>BES</v>
      </c>
      <c r="E54" s="42" t="str">
        <f t="shared" si="14"/>
        <v>Bulgaria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c r="B55" s="14" t="s">
        <v>127</v>
      </c>
      <c r="C55" s="19" t="s">
        <v>49</v>
      </c>
      <c r="D55" s="42" t="str">
        <f t="shared" si="13"/>
        <v>Ekoloski Pokret Ibar</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c r="B56" s="14" t="s">
        <v>127</v>
      </c>
      <c r="C56" s="19" t="s">
        <v>31</v>
      </c>
      <c r="D56" s="42" t="str">
        <f t="shared" si="13"/>
        <v>Zelena Lista Srbije</v>
      </c>
      <c r="E56" s="42" t="str">
        <f t="shared" si="14"/>
        <v>Serbia</v>
      </c>
      <c r="F56" s="28">
        <v>20</v>
      </c>
      <c r="G56" s="29">
        <f t="shared" si="15"/>
        <v>88</v>
      </c>
      <c r="H56" s="30">
        <f t="shared" si="16"/>
        <v>1760</v>
      </c>
      <c r="I56" s="28">
        <v>0</v>
      </c>
      <c r="J56" s="29">
        <f t="shared" si="17"/>
        <v>74</v>
      </c>
      <c r="K56" s="30">
        <f t="shared" si="18"/>
        <v>0</v>
      </c>
      <c r="L56" s="28">
        <v>0</v>
      </c>
      <c r="M56" s="29">
        <f t="shared" si="19"/>
        <v>55</v>
      </c>
      <c r="N56" s="30">
        <f t="shared" si="20"/>
        <v>0</v>
      </c>
      <c r="O56" s="28">
        <v>0</v>
      </c>
      <c r="P56" s="29">
        <f t="shared" si="21"/>
        <v>39</v>
      </c>
      <c r="Q56" s="30">
        <f t="shared" si="22"/>
        <v>0</v>
      </c>
      <c r="R56" s="31">
        <f t="shared" si="23"/>
        <v>20</v>
      </c>
      <c r="S56" s="32">
        <f t="shared" si="24"/>
        <v>1760</v>
      </c>
      <c r="T56" s="33" t="str">
        <f t="shared" si="25"/>
        <v/>
      </c>
    </row>
    <row r="57" spans="2:20" s="34" customFormat="1">
      <c r="B57" s="14" t="s">
        <v>127</v>
      </c>
      <c r="C57" s="19" t="s">
        <v>57</v>
      </c>
      <c r="D57" s="42" t="str">
        <f t="shared" si="13"/>
        <v xml:space="preserve">Zeleni Kljuc </v>
      </c>
      <c r="E57" s="42" t="str">
        <f t="shared" si="14"/>
        <v>Serbia</v>
      </c>
      <c r="F57" s="28">
        <v>20</v>
      </c>
      <c r="G57" s="29">
        <f t="shared" si="15"/>
        <v>88</v>
      </c>
      <c r="H57" s="30">
        <f t="shared" si="16"/>
        <v>1760</v>
      </c>
      <c r="I57" s="28">
        <v>0</v>
      </c>
      <c r="J57" s="29">
        <f t="shared" si="17"/>
        <v>74</v>
      </c>
      <c r="K57" s="30">
        <f t="shared" si="18"/>
        <v>0</v>
      </c>
      <c r="L57" s="28">
        <v>0</v>
      </c>
      <c r="M57" s="29">
        <f t="shared" si="19"/>
        <v>55</v>
      </c>
      <c r="N57" s="30">
        <f t="shared" si="20"/>
        <v>0</v>
      </c>
      <c r="O57" s="28">
        <v>0</v>
      </c>
      <c r="P57" s="29">
        <f t="shared" si="21"/>
        <v>39</v>
      </c>
      <c r="Q57" s="30">
        <f t="shared" si="22"/>
        <v>0</v>
      </c>
      <c r="R57" s="31">
        <f t="shared" si="23"/>
        <v>20</v>
      </c>
      <c r="S57" s="32">
        <f t="shared" si="24"/>
        <v>1760</v>
      </c>
      <c r="T57" s="33" t="str">
        <f t="shared" si="25"/>
        <v/>
      </c>
    </row>
    <row r="58" spans="2:20" s="34" customFormat="1">
      <c r="B58" s="14" t="s">
        <v>127</v>
      </c>
      <c r="C58" s="19" t="s">
        <v>33</v>
      </c>
      <c r="D58" s="42" t="str">
        <f t="shared" si="13"/>
        <v xml:space="preserve">TURMEPA </v>
      </c>
      <c r="E58" s="42" t="str">
        <f t="shared" si="14"/>
        <v>Turkey</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c r="B59" s="14" t="s">
        <v>127</v>
      </c>
      <c r="C59" s="19" t="s">
        <v>28</v>
      </c>
      <c r="D59" s="42" t="str">
        <f t="shared" si="13"/>
        <v>TeamChatGPT</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c r="B60" s="14" t="s">
        <v>127</v>
      </c>
      <c r="C60" s="19" t="s">
        <v>39</v>
      </c>
      <c r="D60" s="42" t="str">
        <f t="shared" si="13"/>
        <v>Eko Centar Srbija</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c r="B61" s="14"/>
      <c r="C61" s="19"/>
      <c r="D61" s="42" t="str">
        <f t="shared" si="13"/>
        <v/>
      </c>
      <c r="E61" s="42" t="str">
        <f t="shared" si="14"/>
        <v/>
      </c>
      <c r="F61" s="28">
        <v>0</v>
      </c>
      <c r="G61" s="29">
        <f t="shared" si="15"/>
        <v>0</v>
      </c>
      <c r="H61" s="30">
        <f t="shared" si="16"/>
        <v>0</v>
      </c>
      <c r="I61" s="28">
        <v>0</v>
      </c>
      <c r="J61" s="29">
        <f t="shared" si="17"/>
        <v>0</v>
      </c>
      <c r="K61" s="30">
        <f t="shared" si="18"/>
        <v>0</v>
      </c>
      <c r="L61" s="28">
        <v>0</v>
      </c>
      <c r="M61" s="29">
        <f t="shared" si="19"/>
        <v>0</v>
      </c>
      <c r="N61" s="30">
        <f t="shared" si="20"/>
        <v>0</v>
      </c>
      <c r="O61" s="28">
        <v>0</v>
      </c>
      <c r="P61" s="29">
        <f t="shared" si="21"/>
        <v>0</v>
      </c>
      <c r="Q61" s="30">
        <f t="shared" si="22"/>
        <v>0</v>
      </c>
      <c r="R61" s="31">
        <f t="shared" si="23"/>
        <v>0</v>
      </c>
      <c r="S61" s="32">
        <f t="shared" si="24"/>
        <v>0</v>
      </c>
      <c r="T61" s="33" t="str">
        <f t="shared" si="25"/>
        <v>Error</v>
      </c>
    </row>
    <row r="62" spans="2:20" s="34" customFormat="1">
      <c r="B62" s="14"/>
      <c r="C62" s="19"/>
      <c r="D62" s="42" t="str">
        <f t="shared" si="13"/>
        <v/>
      </c>
      <c r="E62" s="42" t="str">
        <f t="shared" si="14"/>
        <v/>
      </c>
      <c r="F62" s="28">
        <v>0</v>
      </c>
      <c r="G62" s="29">
        <f t="shared" si="15"/>
        <v>0</v>
      </c>
      <c r="H62" s="30">
        <f t="shared" si="16"/>
        <v>0</v>
      </c>
      <c r="I62" s="28">
        <v>0</v>
      </c>
      <c r="J62" s="29">
        <f t="shared" si="17"/>
        <v>0</v>
      </c>
      <c r="K62" s="30">
        <f t="shared" si="18"/>
        <v>0</v>
      </c>
      <c r="L62" s="28">
        <v>0</v>
      </c>
      <c r="M62" s="29">
        <f t="shared" si="19"/>
        <v>0</v>
      </c>
      <c r="N62" s="30">
        <f t="shared" si="20"/>
        <v>0</v>
      </c>
      <c r="O62" s="28">
        <v>0</v>
      </c>
      <c r="P62" s="29">
        <f t="shared" si="21"/>
        <v>0</v>
      </c>
      <c r="Q62" s="30">
        <f t="shared" si="22"/>
        <v>0</v>
      </c>
      <c r="R62" s="31">
        <f t="shared" si="23"/>
        <v>0</v>
      </c>
      <c r="S62" s="32">
        <f t="shared" si="24"/>
        <v>0</v>
      </c>
      <c r="T62" s="33" t="str">
        <f t="shared" si="25"/>
        <v>Error</v>
      </c>
    </row>
    <row r="63" spans="2:20" s="34" customFormat="1">
      <c r="B63" s="14"/>
      <c r="C63" s="19"/>
      <c r="D63" s="42" t="str">
        <f t="shared" si="13"/>
        <v/>
      </c>
      <c r="E63" s="42" t="str">
        <f t="shared" si="14"/>
        <v/>
      </c>
      <c r="F63" s="28">
        <v>0</v>
      </c>
      <c r="G63" s="29">
        <f t="shared" si="15"/>
        <v>0</v>
      </c>
      <c r="H63" s="30">
        <f t="shared" si="16"/>
        <v>0</v>
      </c>
      <c r="I63" s="28">
        <v>0</v>
      </c>
      <c r="J63" s="29">
        <f t="shared" si="17"/>
        <v>0</v>
      </c>
      <c r="K63" s="30">
        <f t="shared" si="18"/>
        <v>0</v>
      </c>
      <c r="L63" s="28">
        <v>0</v>
      </c>
      <c r="M63" s="29">
        <f t="shared" si="19"/>
        <v>0</v>
      </c>
      <c r="N63" s="30">
        <f t="shared" si="20"/>
        <v>0</v>
      </c>
      <c r="O63" s="28">
        <v>0</v>
      </c>
      <c r="P63" s="29">
        <f t="shared" si="21"/>
        <v>0</v>
      </c>
      <c r="Q63" s="30">
        <f t="shared" si="22"/>
        <v>0</v>
      </c>
      <c r="R63" s="31">
        <f t="shared" si="23"/>
        <v>0</v>
      </c>
      <c r="S63" s="32">
        <f t="shared" si="24"/>
        <v>0</v>
      </c>
      <c r="T63" s="33" t="str">
        <f t="shared" si="25"/>
        <v>Error</v>
      </c>
    </row>
    <row r="64" spans="2:20" s="34" customFormat="1">
      <c r="B64" s="14"/>
      <c r="C64" s="19"/>
      <c r="D64" s="42" t="str">
        <f t="shared" si="13"/>
        <v/>
      </c>
      <c r="E64" s="42" t="str">
        <f t="shared" si="14"/>
        <v/>
      </c>
      <c r="F64" s="28">
        <v>0</v>
      </c>
      <c r="G64" s="29">
        <f t="shared" si="15"/>
        <v>0</v>
      </c>
      <c r="H64" s="30">
        <f t="shared" si="16"/>
        <v>0</v>
      </c>
      <c r="I64" s="28">
        <v>0</v>
      </c>
      <c r="J64" s="29">
        <f t="shared" si="17"/>
        <v>0</v>
      </c>
      <c r="K64" s="30">
        <f t="shared" si="18"/>
        <v>0</v>
      </c>
      <c r="L64" s="28">
        <v>0</v>
      </c>
      <c r="M64" s="29">
        <f t="shared" si="19"/>
        <v>0</v>
      </c>
      <c r="N64" s="30">
        <f t="shared" si="20"/>
        <v>0</v>
      </c>
      <c r="O64" s="28">
        <v>0</v>
      </c>
      <c r="P64" s="29">
        <f t="shared" si="21"/>
        <v>0</v>
      </c>
      <c r="Q64" s="30">
        <f t="shared" si="22"/>
        <v>0</v>
      </c>
      <c r="R64" s="31">
        <f t="shared" si="23"/>
        <v>0</v>
      </c>
      <c r="S64" s="32">
        <f t="shared" si="24"/>
        <v>0</v>
      </c>
      <c r="T64" s="33" t="str">
        <f t="shared" si="25"/>
        <v>Error</v>
      </c>
    </row>
    <row r="65" spans="2:20" s="34" customFormat="1">
      <c r="B65" s="14"/>
      <c r="C65" s="19"/>
      <c r="D65" s="42" t="str">
        <f t="shared" si="13"/>
        <v/>
      </c>
      <c r="E65" s="42" t="str">
        <f t="shared" si="14"/>
        <v/>
      </c>
      <c r="F65" s="28">
        <v>0</v>
      </c>
      <c r="G65" s="29">
        <f t="shared" si="15"/>
        <v>0</v>
      </c>
      <c r="H65" s="30">
        <f t="shared" si="16"/>
        <v>0</v>
      </c>
      <c r="I65" s="28">
        <v>0</v>
      </c>
      <c r="J65" s="29">
        <f t="shared" si="17"/>
        <v>0</v>
      </c>
      <c r="K65" s="30">
        <f t="shared" si="18"/>
        <v>0</v>
      </c>
      <c r="L65" s="28">
        <v>0</v>
      </c>
      <c r="M65" s="29">
        <f t="shared" si="19"/>
        <v>0</v>
      </c>
      <c r="N65" s="30">
        <f t="shared" si="20"/>
        <v>0</v>
      </c>
      <c r="O65" s="28">
        <v>0</v>
      </c>
      <c r="P65" s="29">
        <f t="shared" si="21"/>
        <v>0</v>
      </c>
      <c r="Q65" s="30">
        <f t="shared" si="22"/>
        <v>0</v>
      </c>
      <c r="R65" s="31">
        <f t="shared" si="23"/>
        <v>0</v>
      </c>
      <c r="S65" s="32">
        <f t="shared" si="24"/>
        <v>0</v>
      </c>
      <c r="T65" s="33" t="str">
        <f t="shared" si="25"/>
        <v>Error</v>
      </c>
    </row>
    <row r="66" spans="2:20" s="34" customFormat="1">
      <c r="B66" s="14"/>
      <c r="C66" s="19"/>
      <c r="D66" s="42" t="str">
        <f t="shared" si="13"/>
        <v/>
      </c>
      <c r="E66" s="42" t="str">
        <f t="shared" si="14"/>
        <v/>
      </c>
      <c r="F66" s="28">
        <v>0</v>
      </c>
      <c r="G66" s="29">
        <f t="shared" si="15"/>
        <v>0</v>
      </c>
      <c r="H66" s="30">
        <f t="shared" si="16"/>
        <v>0</v>
      </c>
      <c r="I66" s="28">
        <v>0</v>
      </c>
      <c r="J66" s="29">
        <f t="shared" si="17"/>
        <v>0</v>
      </c>
      <c r="K66" s="30">
        <f t="shared" si="18"/>
        <v>0</v>
      </c>
      <c r="L66" s="28">
        <v>0</v>
      </c>
      <c r="M66" s="29">
        <f t="shared" si="19"/>
        <v>0</v>
      </c>
      <c r="N66" s="30">
        <f t="shared" si="20"/>
        <v>0</v>
      </c>
      <c r="O66" s="28">
        <v>0</v>
      </c>
      <c r="P66" s="29">
        <f t="shared" si="21"/>
        <v>0</v>
      </c>
      <c r="Q66" s="30">
        <f t="shared" si="22"/>
        <v>0</v>
      </c>
      <c r="R66" s="31">
        <f t="shared" si="23"/>
        <v>0</v>
      </c>
      <c r="S66" s="32">
        <f t="shared" si="24"/>
        <v>0</v>
      </c>
      <c r="T66" s="33" t="str">
        <f t="shared" si="25"/>
        <v>Error</v>
      </c>
    </row>
    <row r="67" spans="2:20" s="34" customFormat="1">
      <c r="B67" s="14"/>
      <c r="C67" s="19"/>
      <c r="D67" s="42" t="str">
        <f t="shared" si="13"/>
        <v/>
      </c>
      <c r="E67" s="42" t="str">
        <f t="shared" si="14"/>
        <v/>
      </c>
      <c r="F67" s="28">
        <v>0</v>
      </c>
      <c r="G67" s="29">
        <f t="shared" si="15"/>
        <v>0</v>
      </c>
      <c r="H67" s="30">
        <f t="shared" si="16"/>
        <v>0</v>
      </c>
      <c r="I67" s="28">
        <v>0</v>
      </c>
      <c r="J67" s="29">
        <f t="shared" si="17"/>
        <v>0</v>
      </c>
      <c r="K67" s="30">
        <f t="shared" si="18"/>
        <v>0</v>
      </c>
      <c r="L67" s="28">
        <v>0</v>
      </c>
      <c r="M67" s="29">
        <f t="shared" si="19"/>
        <v>0</v>
      </c>
      <c r="N67" s="30">
        <f t="shared" si="20"/>
        <v>0</v>
      </c>
      <c r="O67" s="28">
        <v>0</v>
      </c>
      <c r="P67" s="29">
        <f t="shared" si="21"/>
        <v>0</v>
      </c>
      <c r="Q67" s="30">
        <f t="shared" si="22"/>
        <v>0</v>
      </c>
      <c r="R67" s="31">
        <f t="shared" si="23"/>
        <v>0</v>
      </c>
      <c r="S67" s="32">
        <f t="shared" si="24"/>
        <v>0</v>
      </c>
      <c r="T67" s="33" t="str">
        <f t="shared" si="25"/>
        <v>Error</v>
      </c>
    </row>
    <row r="68" spans="2:20" s="34" customFormat="1">
      <c r="B68" s="14"/>
      <c r="C68" s="19"/>
      <c r="D68" s="42" t="str">
        <f t="shared" si="13"/>
        <v/>
      </c>
      <c r="E68" s="42" t="str">
        <f t="shared" si="14"/>
        <v/>
      </c>
      <c r="F68" s="28">
        <v>0</v>
      </c>
      <c r="G68" s="29">
        <f t="shared" si="15"/>
        <v>0</v>
      </c>
      <c r="H68" s="30">
        <f t="shared" si="16"/>
        <v>0</v>
      </c>
      <c r="I68" s="28">
        <v>0</v>
      </c>
      <c r="J68" s="29">
        <f t="shared" si="17"/>
        <v>0</v>
      </c>
      <c r="K68" s="30">
        <f t="shared" si="18"/>
        <v>0</v>
      </c>
      <c r="L68" s="28">
        <v>0</v>
      </c>
      <c r="M68" s="29">
        <f t="shared" si="19"/>
        <v>0</v>
      </c>
      <c r="N68" s="30">
        <f t="shared" si="20"/>
        <v>0</v>
      </c>
      <c r="O68" s="28">
        <v>0</v>
      </c>
      <c r="P68" s="29">
        <f t="shared" si="21"/>
        <v>0</v>
      </c>
      <c r="Q68" s="30">
        <f t="shared" si="22"/>
        <v>0</v>
      </c>
      <c r="R68" s="31">
        <f t="shared" si="23"/>
        <v>0</v>
      </c>
      <c r="S68" s="32">
        <f t="shared" si="24"/>
        <v>0</v>
      </c>
      <c r="T68" s="33" t="str">
        <f t="shared" si="25"/>
        <v>Error</v>
      </c>
    </row>
    <row r="69" spans="2:20" s="34" customFormat="1">
      <c r="B69" s="14"/>
      <c r="C69" s="19"/>
      <c r="D69" s="42" t="str">
        <f t="shared" si="13"/>
        <v/>
      </c>
      <c r="E69" s="42" t="str">
        <f t="shared" si="14"/>
        <v/>
      </c>
      <c r="F69" s="28">
        <v>0</v>
      </c>
      <c r="G69" s="29">
        <f t="shared" si="15"/>
        <v>0</v>
      </c>
      <c r="H69" s="30">
        <f t="shared" si="16"/>
        <v>0</v>
      </c>
      <c r="I69" s="28">
        <v>0</v>
      </c>
      <c r="J69" s="29">
        <f t="shared" si="17"/>
        <v>0</v>
      </c>
      <c r="K69" s="30">
        <f t="shared" si="18"/>
        <v>0</v>
      </c>
      <c r="L69" s="28">
        <v>0</v>
      </c>
      <c r="M69" s="29">
        <f t="shared" si="19"/>
        <v>0</v>
      </c>
      <c r="N69" s="30">
        <f t="shared" si="20"/>
        <v>0</v>
      </c>
      <c r="O69" s="28">
        <v>0</v>
      </c>
      <c r="P69" s="29">
        <f t="shared" si="21"/>
        <v>0</v>
      </c>
      <c r="Q69" s="30">
        <f t="shared" si="22"/>
        <v>0</v>
      </c>
      <c r="R69" s="31">
        <f t="shared" si="23"/>
        <v>0</v>
      </c>
      <c r="S69" s="32">
        <f t="shared" si="24"/>
        <v>0</v>
      </c>
      <c r="T69" s="33" t="str">
        <f t="shared" si="25"/>
        <v>Error</v>
      </c>
    </row>
    <row r="70" spans="2:20" s="34" customFormat="1">
      <c r="B70" s="14"/>
      <c r="C70" s="19"/>
      <c r="D70" s="42" t="str">
        <f t="shared" si="13"/>
        <v/>
      </c>
      <c r="E70" s="42" t="str">
        <f t="shared" si="14"/>
        <v/>
      </c>
      <c r="F70" s="28">
        <v>0</v>
      </c>
      <c r="G70" s="29">
        <f t="shared" si="15"/>
        <v>0</v>
      </c>
      <c r="H70" s="30">
        <f t="shared" si="16"/>
        <v>0</v>
      </c>
      <c r="I70" s="28">
        <v>0</v>
      </c>
      <c r="J70" s="29">
        <f t="shared" si="17"/>
        <v>0</v>
      </c>
      <c r="K70" s="30">
        <f t="shared" si="18"/>
        <v>0</v>
      </c>
      <c r="L70" s="28">
        <v>0</v>
      </c>
      <c r="M70" s="29">
        <f t="shared" si="19"/>
        <v>0</v>
      </c>
      <c r="N70" s="30">
        <f t="shared" si="20"/>
        <v>0</v>
      </c>
      <c r="O70" s="28">
        <v>0</v>
      </c>
      <c r="P70" s="29">
        <f t="shared" si="21"/>
        <v>0</v>
      </c>
      <c r="Q70" s="30">
        <f t="shared" si="22"/>
        <v>0</v>
      </c>
      <c r="R70" s="31">
        <f t="shared" si="23"/>
        <v>0</v>
      </c>
      <c r="S70" s="32">
        <f t="shared" si="24"/>
        <v>0</v>
      </c>
      <c r="T70" s="33" t="str">
        <f t="shared" si="25"/>
        <v>Error</v>
      </c>
    </row>
    <row r="71" spans="2:20" s="34" customFormat="1">
      <c r="B71" s="14"/>
      <c r="C71" s="19"/>
      <c r="D71" s="42" t="str">
        <f t="shared" si="13"/>
        <v/>
      </c>
      <c r="E71" s="42" t="str">
        <f t="shared" si="14"/>
        <v/>
      </c>
      <c r="F71" s="28">
        <v>0</v>
      </c>
      <c r="G71" s="29">
        <f t="shared" si="15"/>
        <v>0</v>
      </c>
      <c r="H71" s="30">
        <f t="shared" si="16"/>
        <v>0</v>
      </c>
      <c r="I71" s="28">
        <v>0</v>
      </c>
      <c r="J71" s="29">
        <f t="shared" si="17"/>
        <v>0</v>
      </c>
      <c r="K71" s="30">
        <f t="shared" si="18"/>
        <v>0</v>
      </c>
      <c r="L71" s="28">
        <v>0</v>
      </c>
      <c r="M71" s="29">
        <f t="shared" si="19"/>
        <v>0</v>
      </c>
      <c r="N71" s="30">
        <f t="shared" si="20"/>
        <v>0</v>
      </c>
      <c r="O71" s="28">
        <v>0</v>
      </c>
      <c r="P71" s="29">
        <f t="shared" si="21"/>
        <v>0</v>
      </c>
      <c r="Q71" s="30">
        <f t="shared" si="22"/>
        <v>0</v>
      </c>
      <c r="R71" s="31">
        <f t="shared" si="23"/>
        <v>0</v>
      </c>
      <c r="S71" s="32">
        <f t="shared" si="24"/>
        <v>0</v>
      </c>
      <c r="T71" s="33" t="str">
        <f t="shared" si="25"/>
        <v>Error</v>
      </c>
    </row>
    <row r="72" spans="2:20" s="34" customFormat="1">
      <c r="B72" s="14"/>
      <c r="C72" s="19"/>
      <c r="D72" s="42" t="str">
        <f t="shared" si="13"/>
        <v/>
      </c>
      <c r="E72" s="42" t="str">
        <f t="shared" si="14"/>
        <v/>
      </c>
      <c r="F72" s="28">
        <v>0</v>
      </c>
      <c r="G72" s="29">
        <f t="shared" si="15"/>
        <v>0</v>
      </c>
      <c r="H72" s="30">
        <f t="shared" si="16"/>
        <v>0</v>
      </c>
      <c r="I72" s="28">
        <v>0</v>
      </c>
      <c r="J72" s="29">
        <f t="shared" si="17"/>
        <v>0</v>
      </c>
      <c r="K72" s="30">
        <f t="shared" si="18"/>
        <v>0</v>
      </c>
      <c r="L72" s="28">
        <v>0</v>
      </c>
      <c r="M72" s="29">
        <f t="shared" si="19"/>
        <v>0</v>
      </c>
      <c r="N72" s="30">
        <f t="shared" si="20"/>
        <v>0</v>
      </c>
      <c r="O72" s="28">
        <v>0</v>
      </c>
      <c r="P72" s="29">
        <f t="shared" si="21"/>
        <v>0</v>
      </c>
      <c r="Q72" s="30">
        <f t="shared" si="22"/>
        <v>0</v>
      </c>
      <c r="R72" s="31">
        <f t="shared" si="23"/>
        <v>0</v>
      </c>
      <c r="S72" s="32">
        <f t="shared" si="24"/>
        <v>0</v>
      </c>
      <c r="T72" s="33" t="str">
        <f t="shared" si="25"/>
        <v>Error</v>
      </c>
    </row>
    <row r="73" spans="2:20" s="34" customFormat="1">
      <c r="B73" s="14"/>
      <c r="C73" s="19"/>
      <c r="D73" s="42" t="str">
        <f t="shared" si="13"/>
        <v/>
      </c>
      <c r="E73" s="42" t="str">
        <f t="shared" si="14"/>
        <v/>
      </c>
      <c r="F73" s="28">
        <v>0</v>
      </c>
      <c r="G73" s="29">
        <f t="shared" si="15"/>
        <v>0</v>
      </c>
      <c r="H73" s="30">
        <f t="shared" si="16"/>
        <v>0</v>
      </c>
      <c r="I73" s="28">
        <v>0</v>
      </c>
      <c r="J73" s="29">
        <f t="shared" si="17"/>
        <v>0</v>
      </c>
      <c r="K73" s="30">
        <f t="shared" si="18"/>
        <v>0</v>
      </c>
      <c r="L73" s="28">
        <v>0</v>
      </c>
      <c r="M73" s="29">
        <f t="shared" si="19"/>
        <v>0</v>
      </c>
      <c r="N73" s="30">
        <f t="shared" si="20"/>
        <v>0</v>
      </c>
      <c r="O73" s="28">
        <v>0</v>
      </c>
      <c r="P73" s="29">
        <f t="shared" si="21"/>
        <v>0</v>
      </c>
      <c r="Q73" s="30">
        <f t="shared" si="22"/>
        <v>0</v>
      </c>
      <c r="R73" s="31">
        <f t="shared" si="23"/>
        <v>0</v>
      </c>
      <c r="S73" s="32">
        <f t="shared" si="24"/>
        <v>0</v>
      </c>
      <c r="T73" s="33" t="str">
        <f t="shared" si="25"/>
        <v>Error</v>
      </c>
    </row>
    <row r="74" spans="2:20" s="34" customFormat="1">
      <c r="B74" s="14"/>
      <c r="C74" s="19"/>
      <c r="D74" s="42" t="str">
        <f t="shared" si="13"/>
        <v/>
      </c>
      <c r="E74" s="42" t="str">
        <f t="shared" si="14"/>
        <v/>
      </c>
      <c r="F74" s="28">
        <v>0</v>
      </c>
      <c r="G74" s="29">
        <f t="shared" si="15"/>
        <v>0</v>
      </c>
      <c r="H74" s="30">
        <f t="shared" si="16"/>
        <v>0</v>
      </c>
      <c r="I74" s="28">
        <v>0</v>
      </c>
      <c r="J74" s="29">
        <f t="shared" si="17"/>
        <v>0</v>
      </c>
      <c r="K74" s="30">
        <f t="shared" si="18"/>
        <v>0</v>
      </c>
      <c r="L74" s="28">
        <v>0</v>
      </c>
      <c r="M74" s="29">
        <f t="shared" si="19"/>
        <v>0</v>
      </c>
      <c r="N74" s="30">
        <f t="shared" si="20"/>
        <v>0</v>
      </c>
      <c r="O74" s="28">
        <v>0</v>
      </c>
      <c r="P74" s="29">
        <f t="shared" si="21"/>
        <v>0</v>
      </c>
      <c r="Q74" s="30">
        <f t="shared" si="22"/>
        <v>0</v>
      </c>
      <c r="R74" s="31">
        <f t="shared" si="23"/>
        <v>0</v>
      </c>
      <c r="S74" s="32">
        <f t="shared" si="24"/>
        <v>0</v>
      </c>
      <c r="T74" s="33" t="str">
        <f t="shared" si="25"/>
        <v>Error</v>
      </c>
    </row>
    <row r="75" spans="2:20" s="34" customFormat="1">
      <c r="B75" s="14"/>
      <c r="C75" s="19"/>
      <c r="D75" s="42" t="str">
        <f t="shared" si="13"/>
        <v/>
      </c>
      <c r="E75" s="42" t="str">
        <f t="shared" si="14"/>
        <v/>
      </c>
      <c r="F75" s="28">
        <v>0</v>
      </c>
      <c r="G75" s="29">
        <f t="shared" si="15"/>
        <v>0</v>
      </c>
      <c r="H75" s="30">
        <f t="shared" si="16"/>
        <v>0</v>
      </c>
      <c r="I75" s="28">
        <v>0</v>
      </c>
      <c r="J75" s="29">
        <f t="shared" si="17"/>
        <v>0</v>
      </c>
      <c r="K75" s="30">
        <f t="shared" si="18"/>
        <v>0</v>
      </c>
      <c r="L75" s="28">
        <v>0</v>
      </c>
      <c r="M75" s="29">
        <f t="shared" si="19"/>
        <v>0</v>
      </c>
      <c r="N75" s="30">
        <f t="shared" si="20"/>
        <v>0</v>
      </c>
      <c r="O75" s="28">
        <v>0</v>
      </c>
      <c r="P75" s="29">
        <f t="shared" si="21"/>
        <v>0</v>
      </c>
      <c r="Q75" s="30">
        <f t="shared" si="22"/>
        <v>0</v>
      </c>
      <c r="R75" s="31">
        <f t="shared" si="23"/>
        <v>0</v>
      </c>
      <c r="S75" s="32">
        <f t="shared" si="24"/>
        <v>0</v>
      </c>
      <c r="T75" s="33" t="str">
        <f t="shared" si="25"/>
        <v>Error</v>
      </c>
    </row>
    <row r="76" spans="2:20" s="34" customFormat="1">
      <c r="B76" s="14"/>
      <c r="C76" s="19"/>
      <c r="D76" s="42" t="str">
        <f t="shared" si="13"/>
        <v/>
      </c>
      <c r="E76" s="42" t="str">
        <f t="shared" si="14"/>
        <v/>
      </c>
      <c r="F76" s="28">
        <v>0</v>
      </c>
      <c r="G76" s="29">
        <f t="shared" si="15"/>
        <v>0</v>
      </c>
      <c r="H76" s="30">
        <f t="shared" si="16"/>
        <v>0</v>
      </c>
      <c r="I76" s="28">
        <v>0</v>
      </c>
      <c r="J76" s="29">
        <f t="shared" si="17"/>
        <v>0</v>
      </c>
      <c r="K76" s="30">
        <f t="shared" si="18"/>
        <v>0</v>
      </c>
      <c r="L76" s="28">
        <v>0</v>
      </c>
      <c r="M76" s="29">
        <f t="shared" si="19"/>
        <v>0</v>
      </c>
      <c r="N76" s="30">
        <f t="shared" si="20"/>
        <v>0</v>
      </c>
      <c r="O76" s="28">
        <v>0</v>
      </c>
      <c r="P76" s="29">
        <f t="shared" si="21"/>
        <v>0</v>
      </c>
      <c r="Q76" s="30">
        <f t="shared" si="22"/>
        <v>0</v>
      </c>
      <c r="R76" s="31">
        <f t="shared" si="23"/>
        <v>0</v>
      </c>
      <c r="S76" s="32">
        <f t="shared" si="24"/>
        <v>0</v>
      </c>
      <c r="T76" s="33" t="str">
        <f t="shared" si="25"/>
        <v>Error</v>
      </c>
    </row>
    <row r="77" spans="2:20" s="34" customFormat="1">
      <c r="B77" s="14"/>
      <c r="C77" s="19"/>
      <c r="D77" s="42" t="str">
        <f t="shared" si="13"/>
        <v/>
      </c>
      <c r="E77" s="42" t="str">
        <f t="shared" si="14"/>
        <v/>
      </c>
      <c r="F77" s="28">
        <v>0</v>
      </c>
      <c r="G77" s="29">
        <f t="shared" si="15"/>
        <v>0</v>
      </c>
      <c r="H77" s="30">
        <f t="shared" si="16"/>
        <v>0</v>
      </c>
      <c r="I77" s="28">
        <v>0</v>
      </c>
      <c r="J77" s="29">
        <f t="shared" si="17"/>
        <v>0</v>
      </c>
      <c r="K77" s="30">
        <f t="shared" si="18"/>
        <v>0</v>
      </c>
      <c r="L77" s="28">
        <v>0</v>
      </c>
      <c r="M77" s="29">
        <f t="shared" si="19"/>
        <v>0</v>
      </c>
      <c r="N77" s="30">
        <f t="shared" si="20"/>
        <v>0</v>
      </c>
      <c r="O77" s="28">
        <v>0</v>
      </c>
      <c r="P77" s="29">
        <f t="shared" si="21"/>
        <v>0</v>
      </c>
      <c r="Q77" s="30">
        <f t="shared" si="22"/>
        <v>0</v>
      </c>
      <c r="R77" s="31">
        <f t="shared" si="23"/>
        <v>0</v>
      </c>
      <c r="S77" s="32">
        <f t="shared" si="24"/>
        <v>0</v>
      </c>
      <c r="T77" s="33" t="str">
        <f t="shared" si="25"/>
        <v>Error</v>
      </c>
    </row>
    <row r="78" spans="2:20" s="34" customFormat="1">
      <c r="B78" s="14"/>
      <c r="C78" s="19"/>
      <c r="D78" s="42" t="str">
        <f t="shared" si="13"/>
        <v/>
      </c>
      <c r="E78" s="42" t="str">
        <f t="shared" si="14"/>
        <v/>
      </c>
      <c r="F78" s="28">
        <v>0</v>
      </c>
      <c r="G78" s="29">
        <f t="shared" si="15"/>
        <v>0</v>
      </c>
      <c r="H78" s="30">
        <f t="shared" si="16"/>
        <v>0</v>
      </c>
      <c r="I78" s="28">
        <v>0</v>
      </c>
      <c r="J78" s="29">
        <f t="shared" si="17"/>
        <v>0</v>
      </c>
      <c r="K78" s="30">
        <f t="shared" si="18"/>
        <v>0</v>
      </c>
      <c r="L78" s="28">
        <v>0</v>
      </c>
      <c r="M78" s="29">
        <f t="shared" si="19"/>
        <v>0</v>
      </c>
      <c r="N78" s="30">
        <f t="shared" si="20"/>
        <v>0</v>
      </c>
      <c r="O78" s="28">
        <v>0</v>
      </c>
      <c r="P78" s="29">
        <f t="shared" si="21"/>
        <v>0</v>
      </c>
      <c r="Q78" s="30">
        <f t="shared" si="22"/>
        <v>0</v>
      </c>
      <c r="R78" s="31">
        <f t="shared" si="23"/>
        <v>0</v>
      </c>
      <c r="S78" s="32">
        <f t="shared" si="24"/>
        <v>0</v>
      </c>
      <c r="T78" s="33" t="str">
        <f t="shared" si="25"/>
        <v>Error</v>
      </c>
    </row>
    <row r="79" spans="2:20" s="34" customFormat="1">
      <c r="B79" s="14"/>
      <c r="C79" s="19"/>
      <c r="D79" s="42" t="str">
        <f t="shared" ref="D79:D89" si="26">IFERROR(IF(VLOOKUP(C79,PartnerN°Ref,2,FALSE)=0,"",VLOOKUP(C79,PartnerN°Ref,2,FALSE)),"")</f>
        <v/>
      </c>
      <c r="E79" s="42" t="str">
        <f t="shared" ref="E79:E89" si="27">IFERROR(IF(OR(VLOOKUP(C79,PartnerN°Ref,4,FALSE)="Country not found",VLOOKUP(C79,PartnerN°Ref,3,FALSE)=0),"",VLOOKUP(C79,PartnerN°Ref,3,FALSE)),"")</f>
        <v/>
      </c>
      <c r="F79" s="28">
        <v>0</v>
      </c>
      <c r="G79" s="29">
        <f t="shared" ref="G79:G89" si="28">IF(T79="Error",0,INDEX(Rates,MATCH(E79,CountryALL,0),MATCH($F$11,Category,0)))</f>
        <v>0</v>
      </c>
      <c r="H79" s="30">
        <f t="shared" ref="H79:H89" si="29">IFERROR(IF(T79="Error",0,ROUND(F79*G79,2)),0)</f>
        <v>0</v>
      </c>
      <c r="I79" s="28">
        <v>0</v>
      </c>
      <c r="J79" s="29">
        <f t="shared" ref="J79:J89" si="30">IF(T79="Error",0,INDEX(Rates,MATCH(E79,CountryALL,0),MATCH($I$11,Category,0)))</f>
        <v>0</v>
      </c>
      <c r="K79" s="30">
        <f t="shared" ref="K79:K89" si="31">IFERROR(IF(T79="Error",0,ROUND(I79*J79,2)),0)</f>
        <v>0</v>
      </c>
      <c r="L79" s="28">
        <v>0</v>
      </c>
      <c r="M79" s="29">
        <f t="shared" ref="M79:M89" si="32">IF(T79="Error",0,INDEX(Rates,MATCH(E79,CountryALL,0),MATCH($L$11,Category,0)))</f>
        <v>0</v>
      </c>
      <c r="N79" s="30">
        <f t="shared" ref="N79:N89" si="33">IFERROR(IF(T79="Error",0,ROUND(L79*M79,2)),0)</f>
        <v>0</v>
      </c>
      <c r="O79" s="28">
        <v>0</v>
      </c>
      <c r="P79" s="29">
        <f t="shared" ref="P79:P89" si="34">IF(T79="Error",0,INDEX(Rates,MATCH(E79,CountryALL,0),MATCH($O$11,Category,0)))</f>
        <v>0</v>
      </c>
      <c r="Q79" s="30">
        <f t="shared" ref="Q79:Q89" si="35">IFERROR(IF(T79="Error",0,ROUND(O79*P79,2)),0)</f>
        <v>0</v>
      </c>
      <c r="R79" s="31">
        <f t="shared" ref="R79:R89" si="36">IF(T79="Error",0,F79+I79+L79+O79)</f>
        <v>0</v>
      </c>
      <c r="S79" s="32">
        <f t="shared" ref="S79:S89" si="37">IF(T79="Error",0,H79+K79+N79+Q79)</f>
        <v>0</v>
      </c>
      <c r="T79" s="33" t="str">
        <f t="shared" ref="T79:T89" si="38">IF(OR(COUNTIF(WorkPackage,B79)=0,COUNTIF(PartnerN°,C79)=0,D79="",COUNTIF(CountryALL,E79)=0,ISNUMBER(F79)=FALSE,ISNUMBER(I79)=FALSE,ISNUMBER(L79)=FALSE,ISNUMBER(O79)=FALSE,IF(ISNUMBER(F79)=TRUE,F79=INT(F79*10)/10=FALSE),IF(ISNUMBER(I79)=TRUE,I79=INT(I79*10)/10=FALSE),IF(ISNUMBER(L79)=TRUE,L79=INT(L79*10)/10=FALSE),IF(ISNUMBER(O79)=TRUE,O79=INT(O79*10)/10=FALSE)),"Error","")</f>
        <v>Error</v>
      </c>
    </row>
    <row r="80" spans="2:20" s="34" customFormat="1">
      <c r="B80" s="14"/>
      <c r="C80" s="19"/>
      <c r="D80" s="42" t="str">
        <f t="shared" si="26"/>
        <v/>
      </c>
      <c r="E80" s="42" t="str">
        <f t="shared" si="27"/>
        <v/>
      </c>
      <c r="F80" s="28">
        <v>0</v>
      </c>
      <c r="G80" s="29">
        <f t="shared" si="28"/>
        <v>0</v>
      </c>
      <c r="H80" s="30">
        <f t="shared" si="29"/>
        <v>0</v>
      </c>
      <c r="I80" s="28">
        <v>0</v>
      </c>
      <c r="J80" s="29">
        <f t="shared" si="30"/>
        <v>0</v>
      </c>
      <c r="K80" s="30">
        <f t="shared" si="31"/>
        <v>0</v>
      </c>
      <c r="L80" s="28">
        <v>0</v>
      </c>
      <c r="M80" s="29">
        <f t="shared" si="32"/>
        <v>0</v>
      </c>
      <c r="N80" s="30">
        <f t="shared" si="33"/>
        <v>0</v>
      </c>
      <c r="O80" s="28">
        <v>0</v>
      </c>
      <c r="P80" s="29">
        <f t="shared" si="34"/>
        <v>0</v>
      </c>
      <c r="Q80" s="30">
        <f t="shared" si="35"/>
        <v>0</v>
      </c>
      <c r="R80" s="31">
        <f t="shared" si="36"/>
        <v>0</v>
      </c>
      <c r="S80" s="32">
        <f t="shared" si="37"/>
        <v>0</v>
      </c>
      <c r="T80" s="33" t="str">
        <f t="shared" si="38"/>
        <v>Error</v>
      </c>
    </row>
    <row r="81" spans="2:20" s="34" customFormat="1">
      <c r="B81" s="14"/>
      <c r="C81" s="19"/>
      <c r="D81" s="42" t="str">
        <f t="shared" si="26"/>
        <v/>
      </c>
      <c r="E81" s="42" t="str">
        <f t="shared" si="27"/>
        <v/>
      </c>
      <c r="F81" s="28">
        <v>0</v>
      </c>
      <c r="G81" s="29">
        <f t="shared" si="28"/>
        <v>0</v>
      </c>
      <c r="H81" s="30">
        <f t="shared" si="29"/>
        <v>0</v>
      </c>
      <c r="I81" s="28">
        <v>0</v>
      </c>
      <c r="J81" s="29">
        <f t="shared" si="30"/>
        <v>0</v>
      </c>
      <c r="K81" s="30">
        <f t="shared" si="31"/>
        <v>0</v>
      </c>
      <c r="L81" s="28">
        <v>0</v>
      </c>
      <c r="M81" s="29">
        <f t="shared" si="32"/>
        <v>0</v>
      </c>
      <c r="N81" s="30">
        <f t="shared" si="33"/>
        <v>0</v>
      </c>
      <c r="O81" s="28">
        <v>0</v>
      </c>
      <c r="P81" s="29">
        <f t="shared" si="34"/>
        <v>0</v>
      </c>
      <c r="Q81" s="30">
        <f t="shared" si="35"/>
        <v>0</v>
      </c>
      <c r="R81" s="31">
        <f t="shared" si="36"/>
        <v>0</v>
      </c>
      <c r="S81" s="32">
        <f t="shared" si="37"/>
        <v>0</v>
      </c>
      <c r="T81" s="33" t="str">
        <f t="shared" si="38"/>
        <v>Error</v>
      </c>
    </row>
    <row r="82" spans="2:20" s="34" customFormat="1">
      <c r="B82" s="14"/>
      <c r="C82" s="19"/>
      <c r="D82" s="42" t="str">
        <f t="shared" si="26"/>
        <v/>
      </c>
      <c r="E82" s="42" t="str">
        <f t="shared" si="27"/>
        <v/>
      </c>
      <c r="F82" s="28">
        <v>0</v>
      </c>
      <c r="G82" s="29">
        <f t="shared" si="28"/>
        <v>0</v>
      </c>
      <c r="H82" s="30">
        <f t="shared" si="29"/>
        <v>0</v>
      </c>
      <c r="I82" s="28">
        <v>0</v>
      </c>
      <c r="J82" s="29">
        <f t="shared" si="30"/>
        <v>0</v>
      </c>
      <c r="K82" s="30">
        <f t="shared" si="31"/>
        <v>0</v>
      </c>
      <c r="L82" s="28">
        <v>0</v>
      </c>
      <c r="M82" s="29">
        <f t="shared" si="32"/>
        <v>0</v>
      </c>
      <c r="N82" s="30">
        <f t="shared" si="33"/>
        <v>0</v>
      </c>
      <c r="O82" s="28">
        <v>0</v>
      </c>
      <c r="P82" s="29">
        <f t="shared" si="34"/>
        <v>0</v>
      </c>
      <c r="Q82" s="30">
        <f t="shared" si="35"/>
        <v>0</v>
      </c>
      <c r="R82" s="31">
        <f t="shared" si="36"/>
        <v>0</v>
      </c>
      <c r="S82" s="32">
        <f t="shared" si="37"/>
        <v>0</v>
      </c>
      <c r="T82" s="33" t="str">
        <f t="shared" si="38"/>
        <v>Error</v>
      </c>
    </row>
    <row r="83" spans="2:20" s="34" customFormat="1">
      <c r="B83" s="14"/>
      <c r="C83" s="19"/>
      <c r="D83" s="42" t="str">
        <f t="shared" si="26"/>
        <v/>
      </c>
      <c r="E83" s="42" t="str">
        <f t="shared" si="27"/>
        <v/>
      </c>
      <c r="F83" s="28">
        <v>0</v>
      </c>
      <c r="G83" s="29">
        <f t="shared" si="28"/>
        <v>0</v>
      </c>
      <c r="H83" s="30">
        <f t="shared" si="29"/>
        <v>0</v>
      </c>
      <c r="I83" s="28">
        <v>0</v>
      </c>
      <c r="J83" s="29">
        <f t="shared" si="30"/>
        <v>0</v>
      </c>
      <c r="K83" s="30">
        <f t="shared" si="31"/>
        <v>0</v>
      </c>
      <c r="L83" s="28">
        <v>0</v>
      </c>
      <c r="M83" s="29">
        <f t="shared" si="32"/>
        <v>0</v>
      </c>
      <c r="N83" s="30">
        <f t="shared" si="33"/>
        <v>0</v>
      </c>
      <c r="O83" s="28">
        <v>0</v>
      </c>
      <c r="P83" s="29">
        <f t="shared" si="34"/>
        <v>0</v>
      </c>
      <c r="Q83" s="30">
        <f t="shared" si="35"/>
        <v>0</v>
      </c>
      <c r="R83" s="31">
        <f t="shared" si="36"/>
        <v>0</v>
      </c>
      <c r="S83" s="32">
        <f t="shared" si="37"/>
        <v>0</v>
      </c>
      <c r="T83" s="33" t="str">
        <f t="shared" si="38"/>
        <v>Error</v>
      </c>
    </row>
    <row r="84" spans="2:20" s="34" customFormat="1">
      <c r="B84" s="14"/>
      <c r="C84" s="19"/>
      <c r="D84" s="42" t="str">
        <f t="shared" si="26"/>
        <v/>
      </c>
      <c r="E84" s="42" t="str">
        <f t="shared" si="27"/>
        <v/>
      </c>
      <c r="F84" s="28">
        <v>0</v>
      </c>
      <c r="G84" s="29">
        <f t="shared" si="28"/>
        <v>0</v>
      </c>
      <c r="H84" s="30">
        <f t="shared" si="29"/>
        <v>0</v>
      </c>
      <c r="I84" s="28">
        <v>0</v>
      </c>
      <c r="J84" s="29">
        <f t="shared" si="30"/>
        <v>0</v>
      </c>
      <c r="K84" s="30">
        <f t="shared" si="31"/>
        <v>0</v>
      </c>
      <c r="L84" s="28">
        <v>0</v>
      </c>
      <c r="M84" s="29">
        <f t="shared" si="32"/>
        <v>0</v>
      </c>
      <c r="N84" s="30">
        <f t="shared" si="33"/>
        <v>0</v>
      </c>
      <c r="O84" s="28">
        <v>0</v>
      </c>
      <c r="P84" s="29">
        <f t="shared" si="34"/>
        <v>0</v>
      </c>
      <c r="Q84" s="30">
        <f t="shared" si="35"/>
        <v>0</v>
      </c>
      <c r="R84" s="31">
        <f t="shared" si="36"/>
        <v>0</v>
      </c>
      <c r="S84" s="32">
        <f t="shared" si="37"/>
        <v>0</v>
      </c>
      <c r="T84" s="33" t="str">
        <f t="shared" si="38"/>
        <v>Error</v>
      </c>
    </row>
    <row r="85" spans="2:20" s="34" customFormat="1">
      <c r="B85" s="14"/>
      <c r="C85" s="19"/>
      <c r="D85" s="42" t="str">
        <f t="shared" si="26"/>
        <v/>
      </c>
      <c r="E85" s="42" t="str">
        <f t="shared" si="27"/>
        <v/>
      </c>
      <c r="F85" s="28">
        <v>0</v>
      </c>
      <c r="G85" s="29">
        <f t="shared" si="28"/>
        <v>0</v>
      </c>
      <c r="H85" s="30">
        <f t="shared" si="29"/>
        <v>0</v>
      </c>
      <c r="I85" s="28">
        <v>0</v>
      </c>
      <c r="J85" s="29">
        <f t="shared" si="30"/>
        <v>0</v>
      </c>
      <c r="K85" s="30">
        <f t="shared" si="31"/>
        <v>0</v>
      </c>
      <c r="L85" s="28">
        <v>0</v>
      </c>
      <c r="M85" s="29">
        <f t="shared" si="32"/>
        <v>0</v>
      </c>
      <c r="N85" s="30">
        <f t="shared" si="33"/>
        <v>0</v>
      </c>
      <c r="O85" s="28">
        <v>0</v>
      </c>
      <c r="P85" s="29">
        <f t="shared" si="34"/>
        <v>0</v>
      </c>
      <c r="Q85" s="30">
        <f t="shared" si="35"/>
        <v>0</v>
      </c>
      <c r="R85" s="31">
        <f t="shared" si="36"/>
        <v>0</v>
      </c>
      <c r="S85" s="32">
        <f t="shared" si="37"/>
        <v>0</v>
      </c>
      <c r="T85" s="33" t="str">
        <f t="shared" si="38"/>
        <v>Error</v>
      </c>
    </row>
    <row r="86" spans="2:20" s="34" customFormat="1">
      <c r="B86" s="14"/>
      <c r="C86" s="19"/>
      <c r="D86" s="42" t="str">
        <f t="shared" si="26"/>
        <v/>
      </c>
      <c r="E86" s="42" t="str">
        <f t="shared" si="27"/>
        <v/>
      </c>
      <c r="F86" s="28">
        <v>0</v>
      </c>
      <c r="G86" s="29">
        <f t="shared" si="28"/>
        <v>0</v>
      </c>
      <c r="H86" s="30">
        <f t="shared" si="29"/>
        <v>0</v>
      </c>
      <c r="I86" s="28">
        <v>0</v>
      </c>
      <c r="J86" s="29">
        <f t="shared" si="30"/>
        <v>0</v>
      </c>
      <c r="K86" s="30">
        <f t="shared" si="31"/>
        <v>0</v>
      </c>
      <c r="L86" s="28">
        <v>0</v>
      </c>
      <c r="M86" s="29">
        <f t="shared" si="32"/>
        <v>0</v>
      </c>
      <c r="N86" s="30">
        <f t="shared" si="33"/>
        <v>0</v>
      </c>
      <c r="O86" s="28">
        <v>0</v>
      </c>
      <c r="P86" s="29">
        <f t="shared" si="34"/>
        <v>0</v>
      </c>
      <c r="Q86" s="30">
        <f t="shared" si="35"/>
        <v>0</v>
      </c>
      <c r="R86" s="31">
        <f t="shared" si="36"/>
        <v>0</v>
      </c>
      <c r="S86" s="32">
        <f t="shared" si="37"/>
        <v>0</v>
      </c>
      <c r="T86" s="33" t="str">
        <f t="shared" si="38"/>
        <v>Error</v>
      </c>
    </row>
    <row r="87" spans="2:20" s="34" customFormat="1">
      <c r="B87" s="14"/>
      <c r="C87" s="19"/>
      <c r="D87" s="42" t="str">
        <f t="shared" si="26"/>
        <v/>
      </c>
      <c r="E87" s="42" t="str">
        <f t="shared" si="27"/>
        <v/>
      </c>
      <c r="F87" s="28">
        <v>0</v>
      </c>
      <c r="G87" s="29">
        <f t="shared" si="28"/>
        <v>0</v>
      </c>
      <c r="H87" s="30">
        <f t="shared" si="29"/>
        <v>0</v>
      </c>
      <c r="I87" s="28">
        <v>0</v>
      </c>
      <c r="J87" s="29">
        <f t="shared" si="30"/>
        <v>0</v>
      </c>
      <c r="K87" s="30">
        <f t="shared" si="31"/>
        <v>0</v>
      </c>
      <c r="L87" s="28">
        <v>0</v>
      </c>
      <c r="M87" s="29">
        <f t="shared" si="32"/>
        <v>0</v>
      </c>
      <c r="N87" s="30">
        <f t="shared" si="33"/>
        <v>0</v>
      </c>
      <c r="O87" s="28">
        <v>0</v>
      </c>
      <c r="P87" s="29">
        <f t="shared" si="34"/>
        <v>0</v>
      </c>
      <c r="Q87" s="30">
        <f t="shared" si="35"/>
        <v>0</v>
      </c>
      <c r="R87" s="31">
        <f t="shared" si="36"/>
        <v>0</v>
      </c>
      <c r="S87" s="32">
        <f t="shared" si="37"/>
        <v>0</v>
      </c>
      <c r="T87" s="33" t="str">
        <f t="shared" si="38"/>
        <v>Error</v>
      </c>
    </row>
    <row r="88" spans="2:20" s="34" customFormat="1">
      <c r="B88" s="14"/>
      <c r="C88" s="19"/>
      <c r="D88" s="42" t="str">
        <f t="shared" si="26"/>
        <v/>
      </c>
      <c r="E88" s="42" t="str">
        <f t="shared" si="27"/>
        <v/>
      </c>
      <c r="F88" s="28">
        <v>0</v>
      </c>
      <c r="G88" s="29">
        <f t="shared" si="28"/>
        <v>0</v>
      </c>
      <c r="H88" s="30">
        <f t="shared" si="29"/>
        <v>0</v>
      </c>
      <c r="I88" s="28">
        <v>0</v>
      </c>
      <c r="J88" s="29">
        <f t="shared" si="30"/>
        <v>0</v>
      </c>
      <c r="K88" s="30">
        <f t="shared" si="31"/>
        <v>0</v>
      </c>
      <c r="L88" s="28">
        <v>0</v>
      </c>
      <c r="M88" s="29">
        <f t="shared" si="32"/>
        <v>0</v>
      </c>
      <c r="N88" s="30">
        <f t="shared" si="33"/>
        <v>0</v>
      </c>
      <c r="O88" s="28">
        <v>0</v>
      </c>
      <c r="P88" s="29">
        <f t="shared" si="34"/>
        <v>0</v>
      </c>
      <c r="Q88" s="30">
        <f t="shared" si="35"/>
        <v>0</v>
      </c>
      <c r="R88" s="31">
        <f t="shared" si="36"/>
        <v>0</v>
      </c>
      <c r="S88" s="32">
        <f t="shared" si="37"/>
        <v>0</v>
      </c>
      <c r="T88" s="33" t="str">
        <f t="shared" si="38"/>
        <v>Error</v>
      </c>
    </row>
    <row r="89" spans="2:20" s="34" customFormat="1">
      <c r="B89" s="14"/>
      <c r="C89" s="19"/>
      <c r="D89" s="42" t="str">
        <f t="shared" si="26"/>
        <v/>
      </c>
      <c r="E89" s="42" t="str">
        <f t="shared" si="27"/>
        <v/>
      </c>
      <c r="F89" s="28">
        <v>0</v>
      </c>
      <c r="G89" s="29">
        <f t="shared" si="28"/>
        <v>0</v>
      </c>
      <c r="H89" s="30">
        <f t="shared" si="29"/>
        <v>0</v>
      </c>
      <c r="I89" s="28">
        <v>0</v>
      </c>
      <c r="J89" s="29">
        <f t="shared" si="30"/>
        <v>0</v>
      </c>
      <c r="K89" s="30">
        <f t="shared" si="31"/>
        <v>0</v>
      </c>
      <c r="L89" s="28">
        <v>0</v>
      </c>
      <c r="M89" s="29">
        <f t="shared" si="32"/>
        <v>0</v>
      </c>
      <c r="N89" s="30">
        <f t="shared" si="33"/>
        <v>0</v>
      </c>
      <c r="O89" s="28">
        <v>0</v>
      </c>
      <c r="P89" s="29">
        <f t="shared" si="34"/>
        <v>0</v>
      </c>
      <c r="Q89" s="30">
        <f t="shared" si="35"/>
        <v>0</v>
      </c>
      <c r="R89" s="31">
        <f t="shared" si="36"/>
        <v>0</v>
      </c>
      <c r="S89" s="32">
        <f t="shared" si="37"/>
        <v>0</v>
      </c>
      <c r="T89" s="33" t="str">
        <f t="shared" si="38"/>
        <v>Error</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64" priority="1227" operator="containsText" text="Error">
      <formula>NOT(ISERROR(SEARCH("Error",T13)))</formula>
    </cfRule>
  </conditionalFormatting>
  <conditionalFormatting sqref="D13:E14">
    <cfRule type="containsBlanks" dxfId="363" priority="1223">
      <formula>LEN(TRIM(D13))=0</formula>
    </cfRule>
  </conditionalFormatting>
  <conditionalFormatting sqref="F14 I14 L14 O14">
    <cfRule type="expression" dxfId="362" priority="594">
      <formula>ISNUMBER(F14)=FALSE</formula>
    </cfRule>
  </conditionalFormatting>
  <conditionalFormatting sqref="F13 I13 L13 O13">
    <cfRule type="expression" dxfId="361" priority="593">
      <formula>ISNUMBER(F13)=FALSE</formula>
    </cfRule>
  </conditionalFormatting>
  <conditionalFormatting sqref="B13:C13">
    <cfRule type="containsBlanks" dxfId="360" priority="586">
      <formula>LEN(TRIM(B13))=0</formula>
    </cfRule>
  </conditionalFormatting>
  <conditionalFormatting sqref="B14:C14 B16 B18 B20 B22 B24 C25">
    <cfRule type="containsBlanks" dxfId="359" priority="585">
      <formula>LEN(TRIM(B14))=0</formula>
    </cfRule>
  </conditionalFormatting>
  <conditionalFormatting sqref="T15">
    <cfRule type="containsText" dxfId="358" priority="300" operator="containsText" text="Error">
      <formula>NOT(ISERROR(SEARCH("Error",T15)))</formula>
    </cfRule>
  </conditionalFormatting>
  <conditionalFormatting sqref="D15:E15">
    <cfRule type="containsBlanks" dxfId="357" priority="299">
      <formula>LEN(TRIM(D15))=0</formula>
    </cfRule>
  </conditionalFormatting>
  <conditionalFormatting sqref="F15 I15 L15 O15">
    <cfRule type="expression" dxfId="356" priority="298">
      <formula>ISNUMBER(F15)=FALSE</formula>
    </cfRule>
  </conditionalFormatting>
  <conditionalFormatting sqref="B15:C15 B17 B19 B21 B23 C26">
    <cfRule type="containsBlanks" dxfId="355" priority="297">
      <formula>LEN(TRIM(B15))=0</formula>
    </cfRule>
  </conditionalFormatting>
  <conditionalFormatting sqref="T16">
    <cfRule type="containsText" dxfId="354" priority="296" operator="containsText" text="Error">
      <formula>NOT(ISERROR(SEARCH("Error",T16)))</formula>
    </cfRule>
  </conditionalFormatting>
  <conditionalFormatting sqref="D16:E16">
    <cfRule type="containsBlanks" dxfId="353" priority="295">
      <formula>LEN(TRIM(D16))=0</formula>
    </cfRule>
  </conditionalFormatting>
  <conditionalFormatting sqref="F16 I16 L16 O16">
    <cfRule type="expression" dxfId="352" priority="294">
      <formula>ISNUMBER(F16)=FALSE</formula>
    </cfRule>
  </conditionalFormatting>
  <conditionalFormatting sqref="C16 C27">
    <cfRule type="containsBlanks" dxfId="351" priority="293">
      <formula>LEN(TRIM(C16))=0</formula>
    </cfRule>
  </conditionalFormatting>
  <conditionalFormatting sqref="T17">
    <cfRule type="containsText" dxfId="350" priority="292" operator="containsText" text="Error">
      <formula>NOT(ISERROR(SEARCH("Error",T17)))</formula>
    </cfRule>
  </conditionalFormatting>
  <conditionalFormatting sqref="D17:E17">
    <cfRule type="containsBlanks" dxfId="349" priority="291">
      <formula>LEN(TRIM(D17))=0</formula>
    </cfRule>
  </conditionalFormatting>
  <conditionalFormatting sqref="F17 I17 L17 O17">
    <cfRule type="expression" dxfId="348" priority="290">
      <formula>ISNUMBER(F17)=FALSE</formula>
    </cfRule>
  </conditionalFormatting>
  <conditionalFormatting sqref="C17 C28">
    <cfRule type="containsBlanks" dxfId="347" priority="289">
      <formula>LEN(TRIM(C17))=0</formula>
    </cfRule>
  </conditionalFormatting>
  <conditionalFormatting sqref="T18">
    <cfRule type="containsText" dxfId="346" priority="288" operator="containsText" text="Error">
      <formula>NOT(ISERROR(SEARCH("Error",T18)))</formula>
    </cfRule>
  </conditionalFormatting>
  <conditionalFormatting sqref="D18:E18">
    <cfRule type="containsBlanks" dxfId="345" priority="287">
      <formula>LEN(TRIM(D18))=0</formula>
    </cfRule>
  </conditionalFormatting>
  <conditionalFormatting sqref="F18 I18 L18 O18">
    <cfRule type="expression" dxfId="344" priority="286">
      <formula>ISNUMBER(F18)=FALSE</formula>
    </cfRule>
  </conditionalFormatting>
  <conditionalFormatting sqref="C18 C29">
    <cfRule type="containsBlanks" dxfId="343" priority="285">
      <formula>LEN(TRIM(C18))=0</formula>
    </cfRule>
  </conditionalFormatting>
  <conditionalFormatting sqref="T19">
    <cfRule type="containsText" dxfId="342" priority="284" operator="containsText" text="Error">
      <formula>NOT(ISERROR(SEARCH("Error",T19)))</formula>
    </cfRule>
  </conditionalFormatting>
  <conditionalFormatting sqref="D19:E19">
    <cfRule type="containsBlanks" dxfId="341" priority="283">
      <formula>LEN(TRIM(D19))=0</formula>
    </cfRule>
  </conditionalFormatting>
  <conditionalFormatting sqref="F19 I19 L19 O19">
    <cfRule type="expression" dxfId="340" priority="282">
      <formula>ISNUMBER(F19)=FALSE</formula>
    </cfRule>
  </conditionalFormatting>
  <conditionalFormatting sqref="C19 C30">
    <cfRule type="containsBlanks" dxfId="339" priority="281">
      <formula>LEN(TRIM(C19))=0</formula>
    </cfRule>
  </conditionalFormatting>
  <conditionalFormatting sqref="T20">
    <cfRule type="containsText" dxfId="338" priority="280" operator="containsText" text="Error">
      <formula>NOT(ISERROR(SEARCH("Error",T20)))</formula>
    </cfRule>
  </conditionalFormatting>
  <conditionalFormatting sqref="D20:E20">
    <cfRule type="containsBlanks" dxfId="337" priority="279">
      <formula>LEN(TRIM(D20))=0</formula>
    </cfRule>
  </conditionalFormatting>
  <conditionalFormatting sqref="F20 I20 L20 O20">
    <cfRule type="expression" dxfId="336" priority="278">
      <formula>ISNUMBER(F20)=FALSE</formula>
    </cfRule>
  </conditionalFormatting>
  <conditionalFormatting sqref="C20 C31">
    <cfRule type="containsBlanks" dxfId="335" priority="277">
      <formula>LEN(TRIM(C20))=0</formula>
    </cfRule>
  </conditionalFormatting>
  <conditionalFormatting sqref="T21">
    <cfRule type="containsText" dxfId="334" priority="276" operator="containsText" text="Error">
      <formula>NOT(ISERROR(SEARCH("Error",T21)))</formula>
    </cfRule>
  </conditionalFormatting>
  <conditionalFormatting sqref="D21:E21">
    <cfRule type="containsBlanks" dxfId="333" priority="275">
      <formula>LEN(TRIM(D21))=0</formula>
    </cfRule>
  </conditionalFormatting>
  <conditionalFormatting sqref="F21 I21 L21 O21">
    <cfRule type="expression" dxfId="332" priority="274">
      <formula>ISNUMBER(F21)=FALSE</formula>
    </cfRule>
  </conditionalFormatting>
  <conditionalFormatting sqref="C21 C32">
    <cfRule type="containsBlanks" dxfId="331" priority="273">
      <formula>LEN(TRIM(C21))=0</formula>
    </cfRule>
  </conditionalFormatting>
  <conditionalFormatting sqref="T22">
    <cfRule type="containsText" dxfId="330" priority="272" operator="containsText" text="Error">
      <formula>NOT(ISERROR(SEARCH("Error",T22)))</formula>
    </cfRule>
  </conditionalFormatting>
  <conditionalFormatting sqref="D22:E22">
    <cfRule type="containsBlanks" dxfId="329" priority="271">
      <formula>LEN(TRIM(D22))=0</formula>
    </cfRule>
  </conditionalFormatting>
  <conditionalFormatting sqref="F22 I22 L22 O22">
    <cfRule type="expression" dxfId="328" priority="270">
      <formula>ISNUMBER(F22)=FALSE</formula>
    </cfRule>
  </conditionalFormatting>
  <conditionalFormatting sqref="C22 C33">
    <cfRule type="containsBlanks" dxfId="327" priority="269">
      <formula>LEN(TRIM(C22))=0</formula>
    </cfRule>
  </conditionalFormatting>
  <conditionalFormatting sqref="T23">
    <cfRule type="containsText" dxfId="326" priority="268" operator="containsText" text="Error">
      <formula>NOT(ISERROR(SEARCH("Error",T23)))</formula>
    </cfRule>
  </conditionalFormatting>
  <conditionalFormatting sqref="D23:E23">
    <cfRule type="containsBlanks" dxfId="325" priority="267">
      <formula>LEN(TRIM(D23))=0</formula>
    </cfRule>
  </conditionalFormatting>
  <conditionalFormatting sqref="F23 I23 L23 O23">
    <cfRule type="expression" dxfId="324" priority="266">
      <formula>ISNUMBER(F23)=FALSE</formula>
    </cfRule>
  </conditionalFormatting>
  <conditionalFormatting sqref="C23">
    <cfRule type="containsBlanks" dxfId="323" priority="265">
      <formula>LEN(TRIM(C23))=0</formula>
    </cfRule>
  </conditionalFormatting>
  <conditionalFormatting sqref="T24">
    <cfRule type="containsText" dxfId="322" priority="264" operator="containsText" text="Error">
      <formula>NOT(ISERROR(SEARCH("Error",T24)))</formula>
    </cfRule>
  </conditionalFormatting>
  <conditionalFormatting sqref="D24:E24">
    <cfRule type="containsBlanks" dxfId="321" priority="263">
      <formula>LEN(TRIM(D24))=0</formula>
    </cfRule>
  </conditionalFormatting>
  <conditionalFormatting sqref="F24 I24 L24 O24">
    <cfRule type="expression" dxfId="320" priority="262">
      <formula>ISNUMBER(F24)=FALSE</formula>
    </cfRule>
  </conditionalFormatting>
  <conditionalFormatting sqref="C24">
    <cfRule type="containsBlanks" dxfId="319" priority="261">
      <formula>LEN(TRIM(C24))=0</formula>
    </cfRule>
  </conditionalFormatting>
  <conditionalFormatting sqref="T25">
    <cfRule type="containsText" dxfId="318" priority="260" operator="containsText" text="Error">
      <formula>NOT(ISERROR(SEARCH("Error",T25)))</formula>
    </cfRule>
  </conditionalFormatting>
  <conditionalFormatting sqref="D25:E25">
    <cfRule type="containsBlanks" dxfId="317" priority="259">
      <formula>LEN(TRIM(D25))=0</formula>
    </cfRule>
  </conditionalFormatting>
  <conditionalFormatting sqref="F25 I25 L25 O25">
    <cfRule type="expression" dxfId="316" priority="258">
      <formula>ISNUMBER(F25)=FALSE</formula>
    </cfRule>
  </conditionalFormatting>
  <conditionalFormatting sqref="B25 B27 B29 B31 B33 B35">
    <cfRule type="containsBlanks" dxfId="315" priority="257">
      <formula>LEN(TRIM(B25))=0</formula>
    </cfRule>
  </conditionalFormatting>
  <conditionalFormatting sqref="T26">
    <cfRule type="containsText" dxfId="314" priority="256" operator="containsText" text="Error">
      <formula>NOT(ISERROR(SEARCH("Error",T26)))</formula>
    </cfRule>
  </conditionalFormatting>
  <conditionalFormatting sqref="D26:E26">
    <cfRule type="containsBlanks" dxfId="313" priority="255">
      <formula>LEN(TRIM(D26))=0</formula>
    </cfRule>
  </conditionalFormatting>
  <conditionalFormatting sqref="F26 I26 L26 O26">
    <cfRule type="expression" dxfId="312" priority="254">
      <formula>ISNUMBER(F26)=FALSE</formula>
    </cfRule>
  </conditionalFormatting>
  <conditionalFormatting sqref="B26 B28 B30 B32 B34 B36">
    <cfRule type="containsBlanks" dxfId="311" priority="253">
      <formula>LEN(TRIM(B26))=0</formula>
    </cfRule>
  </conditionalFormatting>
  <conditionalFormatting sqref="T27">
    <cfRule type="containsText" dxfId="310" priority="252" operator="containsText" text="Error">
      <formula>NOT(ISERROR(SEARCH("Error",T27)))</formula>
    </cfRule>
  </conditionalFormatting>
  <conditionalFormatting sqref="D27:E27">
    <cfRule type="containsBlanks" dxfId="309" priority="251">
      <formula>LEN(TRIM(D27))=0</formula>
    </cfRule>
  </conditionalFormatting>
  <conditionalFormatting sqref="F27 I27 L27 O27">
    <cfRule type="expression" dxfId="308" priority="250">
      <formula>ISNUMBER(F27)=FALSE</formula>
    </cfRule>
  </conditionalFormatting>
  <conditionalFormatting sqref="T28">
    <cfRule type="containsText" dxfId="307" priority="248" operator="containsText" text="Error">
      <formula>NOT(ISERROR(SEARCH("Error",T28)))</formula>
    </cfRule>
  </conditionalFormatting>
  <conditionalFormatting sqref="D28:E28">
    <cfRule type="containsBlanks" dxfId="306" priority="247">
      <formula>LEN(TRIM(D28))=0</formula>
    </cfRule>
  </conditionalFormatting>
  <conditionalFormatting sqref="F28 I28 L28 O28">
    <cfRule type="expression" dxfId="305" priority="246">
      <formula>ISNUMBER(F28)=FALSE</formula>
    </cfRule>
  </conditionalFormatting>
  <conditionalFormatting sqref="T29">
    <cfRule type="containsText" dxfId="304" priority="244" operator="containsText" text="Error">
      <formula>NOT(ISERROR(SEARCH("Error",T29)))</formula>
    </cfRule>
  </conditionalFormatting>
  <conditionalFormatting sqref="D29:E29">
    <cfRule type="containsBlanks" dxfId="303" priority="243">
      <formula>LEN(TRIM(D29))=0</formula>
    </cfRule>
  </conditionalFormatting>
  <conditionalFormatting sqref="F29 I29 L29 O29">
    <cfRule type="expression" dxfId="302" priority="242">
      <formula>ISNUMBER(F29)=FALSE</formula>
    </cfRule>
  </conditionalFormatting>
  <conditionalFormatting sqref="T30">
    <cfRule type="containsText" dxfId="301" priority="240" operator="containsText" text="Error">
      <formula>NOT(ISERROR(SEARCH("Error",T30)))</formula>
    </cfRule>
  </conditionalFormatting>
  <conditionalFormatting sqref="D30:E30">
    <cfRule type="containsBlanks" dxfId="300" priority="239">
      <formula>LEN(TRIM(D30))=0</formula>
    </cfRule>
  </conditionalFormatting>
  <conditionalFormatting sqref="F30 I30 L30 O30">
    <cfRule type="expression" dxfId="299" priority="238">
      <formula>ISNUMBER(F30)=FALSE</formula>
    </cfRule>
  </conditionalFormatting>
  <conditionalFormatting sqref="T31">
    <cfRule type="containsText" dxfId="298" priority="236" operator="containsText" text="Error">
      <formula>NOT(ISERROR(SEARCH("Error",T31)))</formula>
    </cfRule>
  </conditionalFormatting>
  <conditionalFormatting sqref="D31:E31">
    <cfRule type="containsBlanks" dxfId="297" priority="235">
      <formula>LEN(TRIM(D31))=0</formula>
    </cfRule>
  </conditionalFormatting>
  <conditionalFormatting sqref="F31 I31 L31 O31">
    <cfRule type="expression" dxfId="296" priority="234">
      <formula>ISNUMBER(F31)=FALSE</formula>
    </cfRule>
  </conditionalFormatting>
  <conditionalFormatting sqref="T32">
    <cfRule type="containsText" dxfId="295" priority="232" operator="containsText" text="Error">
      <formula>NOT(ISERROR(SEARCH("Error",T32)))</formula>
    </cfRule>
  </conditionalFormatting>
  <conditionalFormatting sqref="D32:E32">
    <cfRule type="containsBlanks" dxfId="294" priority="231">
      <formula>LEN(TRIM(D32))=0</formula>
    </cfRule>
  </conditionalFormatting>
  <conditionalFormatting sqref="F32 I32 L32 O32">
    <cfRule type="expression" dxfId="293" priority="230">
      <formula>ISNUMBER(F32)=FALSE</formula>
    </cfRule>
  </conditionalFormatting>
  <conditionalFormatting sqref="T33">
    <cfRule type="containsText" dxfId="292" priority="228" operator="containsText" text="Error">
      <formula>NOT(ISERROR(SEARCH("Error",T33)))</formula>
    </cfRule>
  </conditionalFormatting>
  <conditionalFormatting sqref="D33:E33">
    <cfRule type="containsBlanks" dxfId="291" priority="227">
      <formula>LEN(TRIM(D33))=0</formula>
    </cfRule>
  </conditionalFormatting>
  <conditionalFormatting sqref="F33 I33 L33 O33">
    <cfRule type="expression" dxfId="290" priority="226">
      <formula>ISNUMBER(F33)=FALSE</formula>
    </cfRule>
  </conditionalFormatting>
  <conditionalFormatting sqref="T34">
    <cfRule type="containsText" dxfId="289" priority="224" operator="containsText" text="Error">
      <formula>NOT(ISERROR(SEARCH("Error",T34)))</formula>
    </cfRule>
  </conditionalFormatting>
  <conditionalFormatting sqref="D34:E34">
    <cfRule type="containsBlanks" dxfId="288" priority="223">
      <formula>LEN(TRIM(D34))=0</formula>
    </cfRule>
  </conditionalFormatting>
  <conditionalFormatting sqref="F34 I34 L34 O34">
    <cfRule type="expression" dxfId="287" priority="222">
      <formula>ISNUMBER(F34)=FALSE</formula>
    </cfRule>
  </conditionalFormatting>
  <conditionalFormatting sqref="C34">
    <cfRule type="containsBlanks" dxfId="286" priority="221">
      <formula>LEN(TRIM(C34))=0</formula>
    </cfRule>
  </conditionalFormatting>
  <conditionalFormatting sqref="T35">
    <cfRule type="containsText" dxfId="285" priority="220" operator="containsText" text="Error">
      <formula>NOT(ISERROR(SEARCH("Error",T35)))</formula>
    </cfRule>
  </conditionalFormatting>
  <conditionalFormatting sqref="D35:E35">
    <cfRule type="containsBlanks" dxfId="284" priority="219">
      <formula>LEN(TRIM(D35))=0</formula>
    </cfRule>
  </conditionalFormatting>
  <conditionalFormatting sqref="F35 I35 L35 O35">
    <cfRule type="expression" dxfId="283" priority="218">
      <formula>ISNUMBER(F35)=FALSE</formula>
    </cfRule>
  </conditionalFormatting>
  <conditionalFormatting sqref="C35">
    <cfRule type="containsBlanks" dxfId="282" priority="217">
      <formula>LEN(TRIM(C35))=0</formula>
    </cfRule>
  </conditionalFormatting>
  <conditionalFormatting sqref="T36">
    <cfRule type="containsText" dxfId="281" priority="216" operator="containsText" text="Error">
      <formula>NOT(ISERROR(SEARCH("Error",T36)))</formula>
    </cfRule>
  </conditionalFormatting>
  <conditionalFormatting sqref="D36:E36">
    <cfRule type="containsBlanks" dxfId="280" priority="215">
      <formula>LEN(TRIM(D36))=0</formula>
    </cfRule>
  </conditionalFormatting>
  <conditionalFormatting sqref="F36 I36 L36 O36">
    <cfRule type="expression" dxfId="279" priority="214">
      <formula>ISNUMBER(F36)=FALSE</formula>
    </cfRule>
  </conditionalFormatting>
  <conditionalFormatting sqref="C36">
    <cfRule type="containsBlanks" dxfId="278" priority="213">
      <formula>LEN(TRIM(C36))=0</formula>
    </cfRule>
  </conditionalFormatting>
  <conditionalFormatting sqref="T37">
    <cfRule type="containsText" dxfId="277" priority="212" operator="containsText" text="Error">
      <formula>NOT(ISERROR(SEARCH("Error",T37)))</formula>
    </cfRule>
  </conditionalFormatting>
  <conditionalFormatting sqref="D37:E37">
    <cfRule type="containsBlanks" dxfId="276" priority="211">
      <formula>LEN(TRIM(D37))=0</formula>
    </cfRule>
  </conditionalFormatting>
  <conditionalFormatting sqref="F37 I37 L37 O37">
    <cfRule type="expression" dxfId="275" priority="210">
      <formula>ISNUMBER(F37)=FALSE</formula>
    </cfRule>
  </conditionalFormatting>
  <conditionalFormatting sqref="B37:C37 B39 B41 B43 B45 B47">
    <cfRule type="containsBlanks" dxfId="274" priority="209">
      <formula>LEN(TRIM(B37))=0</formula>
    </cfRule>
  </conditionalFormatting>
  <conditionalFormatting sqref="T38">
    <cfRule type="containsText" dxfId="273" priority="208" operator="containsText" text="Error">
      <formula>NOT(ISERROR(SEARCH("Error",T38)))</formula>
    </cfRule>
  </conditionalFormatting>
  <conditionalFormatting sqref="D38:E38">
    <cfRule type="containsBlanks" dxfId="272" priority="207">
      <formula>LEN(TRIM(D38))=0</formula>
    </cfRule>
  </conditionalFormatting>
  <conditionalFormatting sqref="F38 I38 L38 O38">
    <cfRule type="expression" dxfId="271" priority="206">
      <formula>ISNUMBER(F38)=FALSE</formula>
    </cfRule>
  </conditionalFormatting>
  <conditionalFormatting sqref="B38:C38 B40 B42 B44 B46">
    <cfRule type="containsBlanks" dxfId="270" priority="205">
      <formula>LEN(TRIM(B38))=0</formula>
    </cfRule>
  </conditionalFormatting>
  <conditionalFormatting sqref="T39">
    <cfRule type="containsText" dxfId="269" priority="204" operator="containsText" text="Error">
      <formula>NOT(ISERROR(SEARCH("Error",T39)))</formula>
    </cfRule>
  </conditionalFormatting>
  <conditionalFormatting sqref="D39:E39">
    <cfRule type="containsBlanks" dxfId="268" priority="203">
      <formula>LEN(TRIM(D39))=0</formula>
    </cfRule>
  </conditionalFormatting>
  <conditionalFormatting sqref="F39 I39 L39 O39">
    <cfRule type="expression" dxfId="267" priority="202">
      <formula>ISNUMBER(F39)=FALSE</formula>
    </cfRule>
  </conditionalFormatting>
  <conditionalFormatting sqref="C39">
    <cfRule type="containsBlanks" dxfId="266" priority="201">
      <formula>LEN(TRIM(C39))=0</formula>
    </cfRule>
  </conditionalFormatting>
  <conditionalFormatting sqref="T40">
    <cfRule type="containsText" dxfId="265" priority="200" operator="containsText" text="Error">
      <formula>NOT(ISERROR(SEARCH("Error",T40)))</formula>
    </cfRule>
  </conditionalFormatting>
  <conditionalFormatting sqref="D40:E40">
    <cfRule type="containsBlanks" dxfId="264" priority="199">
      <formula>LEN(TRIM(D40))=0</formula>
    </cfRule>
  </conditionalFormatting>
  <conditionalFormatting sqref="F40 I40 L40 O40">
    <cfRule type="expression" dxfId="263" priority="198">
      <formula>ISNUMBER(F40)=FALSE</formula>
    </cfRule>
  </conditionalFormatting>
  <conditionalFormatting sqref="C40">
    <cfRule type="containsBlanks" dxfId="262" priority="197">
      <formula>LEN(TRIM(C40))=0</formula>
    </cfRule>
  </conditionalFormatting>
  <conditionalFormatting sqref="T41">
    <cfRule type="containsText" dxfId="261" priority="196" operator="containsText" text="Error">
      <formula>NOT(ISERROR(SEARCH("Error",T41)))</formula>
    </cfRule>
  </conditionalFormatting>
  <conditionalFormatting sqref="D41:E41">
    <cfRule type="containsBlanks" dxfId="260" priority="195">
      <formula>LEN(TRIM(D41))=0</formula>
    </cfRule>
  </conditionalFormatting>
  <conditionalFormatting sqref="F41 I41 L41 O41">
    <cfRule type="expression" dxfId="259" priority="194">
      <formula>ISNUMBER(F41)=FALSE</formula>
    </cfRule>
  </conditionalFormatting>
  <conditionalFormatting sqref="C41">
    <cfRule type="containsBlanks" dxfId="258" priority="193">
      <formula>LEN(TRIM(C41))=0</formula>
    </cfRule>
  </conditionalFormatting>
  <conditionalFormatting sqref="T42">
    <cfRule type="containsText" dxfId="257" priority="192" operator="containsText" text="Error">
      <formula>NOT(ISERROR(SEARCH("Error",T42)))</formula>
    </cfRule>
  </conditionalFormatting>
  <conditionalFormatting sqref="D42:E42">
    <cfRule type="containsBlanks" dxfId="256" priority="191">
      <formula>LEN(TRIM(D42))=0</formula>
    </cfRule>
  </conditionalFormatting>
  <conditionalFormatting sqref="F42 I42 L42 O42">
    <cfRule type="expression" dxfId="255" priority="190">
      <formula>ISNUMBER(F42)=FALSE</formula>
    </cfRule>
  </conditionalFormatting>
  <conditionalFormatting sqref="C42">
    <cfRule type="containsBlanks" dxfId="254" priority="189">
      <formula>LEN(TRIM(C42))=0</formula>
    </cfRule>
  </conditionalFormatting>
  <conditionalFormatting sqref="T43">
    <cfRule type="containsText" dxfId="253" priority="188" operator="containsText" text="Error">
      <formula>NOT(ISERROR(SEARCH("Error",T43)))</formula>
    </cfRule>
  </conditionalFormatting>
  <conditionalFormatting sqref="D43:E43">
    <cfRule type="containsBlanks" dxfId="252" priority="187">
      <formula>LEN(TRIM(D43))=0</formula>
    </cfRule>
  </conditionalFormatting>
  <conditionalFormatting sqref="F43 I43 L43 O43">
    <cfRule type="expression" dxfId="251" priority="186">
      <formula>ISNUMBER(F43)=FALSE</formula>
    </cfRule>
  </conditionalFormatting>
  <conditionalFormatting sqref="C43">
    <cfRule type="containsBlanks" dxfId="250" priority="185">
      <formula>LEN(TRIM(C43))=0</formula>
    </cfRule>
  </conditionalFormatting>
  <conditionalFormatting sqref="T44">
    <cfRule type="containsText" dxfId="249" priority="184" operator="containsText" text="Error">
      <formula>NOT(ISERROR(SEARCH("Error",T44)))</formula>
    </cfRule>
  </conditionalFormatting>
  <conditionalFormatting sqref="D44:E44">
    <cfRule type="containsBlanks" dxfId="248" priority="183">
      <formula>LEN(TRIM(D44))=0</formula>
    </cfRule>
  </conditionalFormatting>
  <conditionalFormatting sqref="F44 I44 L44 O44">
    <cfRule type="expression" dxfId="247" priority="182">
      <formula>ISNUMBER(F44)=FALSE</formula>
    </cfRule>
  </conditionalFormatting>
  <conditionalFormatting sqref="C44">
    <cfRule type="containsBlanks" dxfId="246" priority="181">
      <formula>LEN(TRIM(C44))=0</formula>
    </cfRule>
  </conditionalFormatting>
  <conditionalFormatting sqref="T45">
    <cfRule type="containsText" dxfId="245" priority="180" operator="containsText" text="Error">
      <formula>NOT(ISERROR(SEARCH("Error",T45)))</formula>
    </cfRule>
  </conditionalFormatting>
  <conditionalFormatting sqref="D45:E45">
    <cfRule type="containsBlanks" dxfId="244" priority="179">
      <formula>LEN(TRIM(D45))=0</formula>
    </cfRule>
  </conditionalFormatting>
  <conditionalFormatting sqref="F45 I45 L45 O45">
    <cfRule type="expression" dxfId="243" priority="178">
      <formula>ISNUMBER(F45)=FALSE</formula>
    </cfRule>
  </conditionalFormatting>
  <conditionalFormatting sqref="C45">
    <cfRule type="containsBlanks" dxfId="242" priority="177">
      <formula>LEN(TRIM(C45))=0</formula>
    </cfRule>
  </conditionalFormatting>
  <conditionalFormatting sqref="T46">
    <cfRule type="containsText" dxfId="241" priority="176" operator="containsText" text="Error">
      <formula>NOT(ISERROR(SEARCH("Error",T46)))</formula>
    </cfRule>
  </conditionalFormatting>
  <conditionalFormatting sqref="D46:E46">
    <cfRule type="containsBlanks" dxfId="240" priority="175">
      <formula>LEN(TRIM(D46))=0</formula>
    </cfRule>
  </conditionalFormatting>
  <conditionalFormatting sqref="F46 I46 L46 O46">
    <cfRule type="expression" dxfId="239" priority="174">
      <formula>ISNUMBER(F46)=FALSE</formula>
    </cfRule>
  </conditionalFormatting>
  <conditionalFormatting sqref="C46">
    <cfRule type="containsBlanks" dxfId="238" priority="173">
      <formula>LEN(TRIM(C46))=0</formula>
    </cfRule>
  </conditionalFormatting>
  <conditionalFormatting sqref="T47">
    <cfRule type="containsText" dxfId="237" priority="172" operator="containsText" text="Error">
      <formula>NOT(ISERROR(SEARCH("Error",T47)))</formula>
    </cfRule>
  </conditionalFormatting>
  <conditionalFormatting sqref="D47:E47">
    <cfRule type="containsBlanks" dxfId="236" priority="171">
      <formula>LEN(TRIM(D47))=0</formula>
    </cfRule>
  </conditionalFormatting>
  <conditionalFormatting sqref="F47 I47 L47 O47">
    <cfRule type="expression" dxfId="235" priority="170">
      <formula>ISNUMBER(F47)=FALSE</formula>
    </cfRule>
  </conditionalFormatting>
  <conditionalFormatting sqref="C47">
    <cfRule type="containsBlanks" dxfId="234" priority="169">
      <formula>LEN(TRIM(C47))=0</formula>
    </cfRule>
  </conditionalFormatting>
  <conditionalFormatting sqref="T48">
    <cfRule type="containsText" dxfId="233" priority="168" operator="containsText" text="Error">
      <formula>NOT(ISERROR(SEARCH("Error",T48)))</formula>
    </cfRule>
  </conditionalFormatting>
  <conditionalFormatting sqref="D48:E48">
    <cfRule type="containsBlanks" dxfId="232" priority="167">
      <formula>LEN(TRIM(D48))=0</formula>
    </cfRule>
  </conditionalFormatting>
  <conditionalFormatting sqref="F48 I48 L48 O48">
    <cfRule type="expression" dxfId="231" priority="166">
      <formula>ISNUMBER(F48)=FALSE</formula>
    </cfRule>
  </conditionalFormatting>
  <conditionalFormatting sqref="B48:C48">
    <cfRule type="containsBlanks" dxfId="230" priority="165">
      <formula>LEN(TRIM(B48))=0</formula>
    </cfRule>
  </conditionalFormatting>
  <conditionalFormatting sqref="T49">
    <cfRule type="containsText" dxfId="229" priority="164" operator="containsText" text="Error">
      <formula>NOT(ISERROR(SEARCH("Error",T49)))</formula>
    </cfRule>
  </conditionalFormatting>
  <conditionalFormatting sqref="D49:E49">
    <cfRule type="containsBlanks" dxfId="228" priority="163">
      <formula>LEN(TRIM(D49))=0</formula>
    </cfRule>
  </conditionalFormatting>
  <conditionalFormatting sqref="F49 I49 L49 O49">
    <cfRule type="expression" dxfId="227" priority="162">
      <formula>ISNUMBER(F49)=FALSE</formula>
    </cfRule>
  </conditionalFormatting>
  <conditionalFormatting sqref="B49:C49">
    <cfRule type="containsBlanks" dxfId="226" priority="161">
      <formula>LEN(TRIM(B49))=0</formula>
    </cfRule>
  </conditionalFormatting>
  <conditionalFormatting sqref="T50">
    <cfRule type="containsText" dxfId="225" priority="160" operator="containsText" text="Error">
      <formula>NOT(ISERROR(SEARCH("Error",T50)))</formula>
    </cfRule>
  </conditionalFormatting>
  <conditionalFormatting sqref="D50:E50">
    <cfRule type="containsBlanks" dxfId="224" priority="159">
      <formula>LEN(TRIM(D50))=0</formula>
    </cfRule>
  </conditionalFormatting>
  <conditionalFormatting sqref="F50 I50 L50 O50">
    <cfRule type="expression" dxfId="223" priority="158">
      <formula>ISNUMBER(F50)=FALSE</formula>
    </cfRule>
  </conditionalFormatting>
  <conditionalFormatting sqref="B50:C50">
    <cfRule type="containsBlanks" dxfId="222" priority="157">
      <formula>LEN(TRIM(B50))=0</formula>
    </cfRule>
  </conditionalFormatting>
  <conditionalFormatting sqref="T51">
    <cfRule type="containsText" dxfId="221" priority="156" operator="containsText" text="Error">
      <formula>NOT(ISERROR(SEARCH("Error",T51)))</formula>
    </cfRule>
  </conditionalFormatting>
  <conditionalFormatting sqref="D51:E51">
    <cfRule type="containsBlanks" dxfId="220" priority="155">
      <formula>LEN(TRIM(D51))=0</formula>
    </cfRule>
  </conditionalFormatting>
  <conditionalFormatting sqref="F51 I51 L51 O51">
    <cfRule type="expression" dxfId="219" priority="154">
      <formula>ISNUMBER(F51)=FALSE</formula>
    </cfRule>
  </conditionalFormatting>
  <conditionalFormatting sqref="B51:C51">
    <cfRule type="containsBlanks" dxfId="218" priority="153">
      <formula>LEN(TRIM(B51))=0</formula>
    </cfRule>
  </conditionalFormatting>
  <conditionalFormatting sqref="T52">
    <cfRule type="containsText" dxfId="217" priority="152" operator="containsText" text="Error">
      <formula>NOT(ISERROR(SEARCH("Error",T52)))</formula>
    </cfRule>
  </conditionalFormatting>
  <conditionalFormatting sqref="D52:E52">
    <cfRule type="containsBlanks" dxfId="216" priority="151">
      <formula>LEN(TRIM(D52))=0</formula>
    </cfRule>
  </conditionalFormatting>
  <conditionalFormatting sqref="F52 I52 L52 O52">
    <cfRule type="expression" dxfId="215" priority="150">
      <formula>ISNUMBER(F52)=FALSE</formula>
    </cfRule>
  </conditionalFormatting>
  <conditionalFormatting sqref="B52:C52">
    <cfRule type="containsBlanks" dxfId="214" priority="149">
      <formula>LEN(TRIM(B52))=0</formula>
    </cfRule>
  </conditionalFormatting>
  <conditionalFormatting sqref="T53">
    <cfRule type="containsText" dxfId="213" priority="148" operator="containsText" text="Error">
      <formula>NOT(ISERROR(SEARCH("Error",T53)))</formula>
    </cfRule>
  </conditionalFormatting>
  <conditionalFormatting sqref="D53:E53">
    <cfRule type="containsBlanks" dxfId="212" priority="147">
      <formula>LEN(TRIM(D53))=0</formula>
    </cfRule>
  </conditionalFormatting>
  <conditionalFormatting sqref="F53 I53 L53 O53">
    <cfRule type="expression" dxfId="211" priority="146">
      <formula>ISNUMBER(F53)=FALSE</formula>
    </cfRule>
  </conditionalFormatting>
  <conditionalFormatting sqref="B53:C53">
    <cfRule type="containsBlanks" dxfId="210" priority="145">
      <formula>LEN(TRIM(B53))=0</formula>
    </cfRule>
  </conditionalFormatting>
  <conditionalFormatting sqref="T54">
    <cfRule type="containsText" dxfId="209" priority="144" operator="containsText" text="Error">
      <formula>NOT(ISERROR(SEARCH("Error",T54)))</formula>
    </cfRule>
  </conditionalFormatting>
  <conditionalFormatting sqref="D54:E54">
    <cfRule type="containsBlanks" dxfId="208" priority="143">
      <formula>LEN(TRIM(D54))=0</formula>
    </cfRule>
  </conditionalFormatting>
  <conditionalFormatting sqref="F54 I54 L54 O54">
    <cfRule type="expression" dxfId="207" priority="142">
      <formula>ISNUMBER(F54)=FALSE</formula>
    </cfRule>
  </conditionalFormatting>
  <conditionalFormatting sqref="B54:C54">
    <cfRule type="containsBlanks" dxfId="206" priority="141">
      <formula>LEN(TRIM(B54))=0</formula>
    </cfRule>
  </conditionalFormatting>
  <conditionalFormatting sqref="T55">
    <cfRule type="containsText" dxfId="205" priority="140" operator="containsText" text="Error">
      <formula>NOT(ISERROR(SEARCH("Error",T55)))</formula>
    </cfRule>
  </conditionalFormatting>
  <conditionalFormatting sqref="D55:E55">
    <cfRule type="containsBlanks" dxfId="204" priority="139">
      <formula>LEN(TRIM(D55))=0</formula>
    </cfRule>
  </conditionalFormatting>
  <conditionalFormatting sqref="F55 I55 L55 O55">
    <cfRule type="expression" dxfId="203" priority="138">
      <formula>ISNUMBER(F55)=FALSE</formula>
    </cfRule>
  </conditionalFormatting>
  <conditionalFormatting sqref="B55:C55">
    <cfRule type="containsBlanks" dxfId="202" priority="137">
      <formula>LEN(TRIM(B55))=0</formula>
    </cfRule>
  </conditionalFormatting>
  <conditionalFormatting sqref="T56">
    <cfRule type="containsText" dxfId="201" priority="136" operator="containsText" text="Error">
      <formula>NOT(ISERROR(SEARCH("Error",T56)))</formula>
    </cfRule>
  </conditionalFormatting>
  <conditionalFormatting sqref="D56:E56">
    <cfRule type="containsBlanks" dxfId="200" priority="135">
      <formula>LEN(TRIM(D56))=0</formula>
    </cfRule>
  </conditionalFormatting>
  <conditionalFormatting sqref="F56 I56 L56 O56">
    <cfRule type="expression" dxfId="199" priority="134">
      <formula>ISNUMBER(F56)=FALSE</formula>
    </cfRule>
  </conditionalFormatting>
  <conditionalFormatting sqref="B56:C56">
    <cfRule type="containsBlanks" dxfId="198" priority="133">
      <formula>LEN(TRIM(B56))=0</formula>
    </cfRule>
  </conditionalFormatting>
  <conditionalFormatting sqref="T57">
    <cfRule type="containsText" dxfId="197" priority="132" operator="containsText" text="Error">
      <formula>NOT(ISERROR(SEARCH("Error",T57)))</formula>
    </cfRule>
  </conditionalFormatting>
  <conditionalFormatting sqref="D57:E57">
    <cfRule type="containsBlanks" dxfId="196" priority="131">
      <formula>LEN(TRIM(D57))=0</formula>
    </cfRule>
  </conditionalFormatting>
  <conditionalFormatting sqref="F57 I57 L57 O57">
    <cfRule type="expression" dxfId="195" priority="130">
      <formula>ISNUMBER(F57)=FALSE</formula>
    </cfRule>
  </conditionalFormatting>
  <conditionalFormatting sqref="B57:C57">
    <cfRule type="containsBlanks" dxfId="194" priority="129">
      <formula>LEN(TRIM(B57))=0</formula>
    </cfRule>
  </conditionalFormatting>
  <conditionalFormatting sqref="T58">
    <cfRule type="containsText" dxfId="193" priority="128" operator="containsText" text="Error">
      <formula>NOT(ISERROR(SEARCH("Error",T58)))</formula>
    </cfRule>
  </conditionalFormatting>
  <conditionalFormatting sqref="D58:E58">
    <cfRule type="containsBlanks" dxfId="192" priority="127">
      <formula>LEN(TRIM(D58))=0</formula>
    </cfRule>
  </conditionalFormatting>
  <conditionalFormatting sqref="F58 I58 L58 O58">
    <cfRule type="expression" dxfId="191" priority="126">
      <formula>ISNUMBER(F58)=FALSE</formula>
    </cfRule>
  </conditionalFormatting>
  <conditionalFormatting sqref="B58:C58">
    <cfRule type="containsBlanks" dxfId="190" priority="125">
      <formula>LEN(TRIM(B58))=0</formula>
    </cfRule>
  </conditionalFormatting>
  <conditionalFormatting sqref="T59">
    <cfRule type="containsText" dxfId="189" priority="124" operator="containsText" text="Error">
      <formula>NOT(ISERROR(SEARCH("Error",T59)))</formula>
    </cfRule>
  </conditionalFormatting>
  <conditionalFormatting sqref="D59:E59">
    <cfRule type="containsBlanks" dxfId="188" priority="123">
      <formula>LEN(TRIM(D59))=0</formula>
    </cfRule>
  </conditionalFormatting>
  <conditionalFormatting sqref="F59 I59 L59 O59">
    <cfRule type="expression" dxfId="187" priority="122">
      <formula>ISNUMBER(F59)=FALSE</formula>
    </cfRule>
  </conditionalFormatting>
  <conditionalFormatting sqref="B59:C59">
    <cfRule type="containsBlanks" dxfId="186" priority="121">
      <formula>LEN(TRIM(B59))=0</formula>
    </cfRule>
  </conditionalFormatting>
  <conditionalFormatting sqref="T60">
    <cfRule type="containsText" dxfId="185" priority="120" operator="containsText" text="Error">
      <formula>NOT(ISERROR(SEARCH("Error",T60)))</formula>
    </cfRule>
  </conditionalFormatting>
  <conditionalFormatting sqref="D60:E60">
    <cfRule type="containsBlanks" dxfId="184" priority="119">
      <formula>LEN(TRIM(D60))=0</formula>
    </cfRule>
  </conditionalFormatting>
  <conditionalFormatting sqref="F60 I60 L60 O60">
    <cfRule type="expression" dxfId="183" priority="118">
      <formula>ISNUMBER(F60)=FALSE</formula>
    </cfRule>
  </conditionalFormatting>
  <conditionalFormatting sqref="B60:C60">
    <cfRule type="containsBlanks" dxfId="182" priority="117">
      <formula>LEN(TRIM(B60))=0</formula>
    </cfRule>
  </conditionalFormatting>
  <conditionalFormatting sqref="T61">
    <cfRule type="containsText" dxfId="181" priority="116" operator="containsText" text="Error">
      <formula>NOT(ISERROR(SEARCH("Error",T61)))</formula>
    </cfRule>
  </conditionalFormatting>
  <conditionalFormatting sqref="D61:E61">
    <cfRule type="containsBlanks" dxfId="180" priority="115">
      <formula>LEN(TRIM(D61))=0</formula>
    </cfRule>
  </conditionalFormatting>
  <conditionalFormatting sqref="F61 I61 L61 O61">
    <cfRule type="expression" dxfId="179" priority="114">
      <formula>ISNUMBER(F61)=FALSE</formula>
    </cfRule>
  </conditionalFormatting>
  <conditionalFormatting sqref="B61:C61">
    <cfRule type="containsBlanks" dxfId="178" priority="113">
      <formula>LEN(TRIM(B61))=0</formula>
    </cfRule>
  </conditionalFormatting>
  <conditionalFormatting sqref="T62">
    <cfRule type="containsText" dxfId="177" priority="112" operator="containsText" text="Error">
      <formula>NOT(ISERROR(SEARCH("Error",T62)))</formula>
    </cfRule>
  </conditionalFormatting>
  <conditionalFormatting sqref="D62:E62">
    <cfRule type="containsBlanks" dxfId="176" priority="111">
      <formula>LEN(TRIM(D62))=0</formula>
    </cfRule>
  </conditionalFormatting>
  <conditionalFormatting sqref="F62 I62 L62 O62">
    <cfRule type="expression" dxfId="175" priority="110">
      <formula>ISNUMBER(F62)=FALSE</formula>
    </cfRule>
  </conditionalFormatting>
  <conditionalFormatting sqref="B62:C62">
    <cfRule type="containsBlanks" dxfId="174" priority="109">
      <formula>LEN(TRIM(B62))=0</formula>
    </cfRule>
  </conditionalFormatting>
  <conditionalFormatting sqref="T63">
    <cfRule type="containsText" dxfId="173" priority="108" operator="containsText" text="Error">
      <formula>NOT(ISERROR(SEARCH("Error",T63)))</formula>
    </cfRule>
  </conditionalFormatting>
  <conditionalFormatting sqref="D63:E63">
    <cfRule type="containsBlanks" dxfId="172" priority="107">
      <formula>LEN(TRIM(D63))=0</formula>
    </cfRule>
  </conditionalFormatting>
  <conditionalFormatting sqref="F63 I63 L63 O63">
    <cfRule type="expression" dxfId="171" priority="106">
      <formula>ISNUMBER(F63)=FALSE</formula>
    </cfRule>
  </conditionalFormatting>
  <conditionalFormatting sqref="B63:C63">
    <cfRule type="containsBlanks" dxfId="170" priority="105">
      <formula>LEN(TRIM(B63))=0</formula>
    </cfRule>
  </conditionalFormatting>
  <conditionalFormatting sqref="T64">
    <cfRule type="containsText" dxfId="169" priority="104" operator="containsText" text="Error">
      <formula>NOT(ISERROR(SEARCH("Error",T64)))</formula>
    </cfRule>
  </conditionalFormatting>
  <conditionalFormatting sqref="D64:E64">
    <cfRule type="containsBlanks" dxfId="168" priority="103">
      <formula>LEN(TRIM(D64))=0</formula>
    </cfRule>
  </conditionalFormatting>
  <conditionalFormatting sqref="F64 I64 L64 O64">
    <cfRule type="expression" dxfId="167" priority="102">
      <formula>ISNUMBER(F64)=FALSE</formula>
    </cfRule>
  </conditionalFormatting>
  <conditionalFormatting sqref="B64:C64">
    <cfRule type="containsBlanks" dxfId="166" priority="101">
      <formula>LEN(TRIM(B64))=0</formula>
    </cfRule>
  </conditionalFormatting>
  <conditionalFormatting sqref="T65">
    <cfRule type="containsText" dxfId="165" priority="100" operator="containsText" text="Error">
      <formula>NOT(ISERROR(SEARCH("Error",T65)))</formula>
    </cfRule>
  </conditionalFormatting>
  <conditionalFormatting sqref="D65:E65">
    <cfRule type="containsBlanks" dxfId="164" priority="99">
      <formula>LEN(TRIM(D65))=0</formula>
    </cfRule>
  </conditionalFormatting>
  <conditionalFormatting sqref="F65 I65 L65 O65">
    <cfRule type="expression" dxfId="163" priority="98">
      <formula>ISNUMBER(F65)=FALSE</formula>
    </cfRule>
  </conditionalFormatting>
  <conditionalFormatting sqref="B65:C65">
    <cfRule type="containsBlanks" dxfId="162" priority="97">
      <formula>LEN(TRIM(B65))=0</formula>
    </cfRule>
  </conditionalFormatting>
  <conditionalFormatting sqref="T66">
    <cfRule type="containsText" dxfId="161" priority="96" operator="containsText" text="Error">
      <formula>NOT(ISERROR(SEARCH("Error",T66)))</formula>
    </cfRule>
  </conditionalFormatting>
  <conditionalFormatting sqref="D66:E66">
    <cfRule type="containsBlanks" dxfId="160" priority="95">
      <formula>LEN(TRIM(D66))=0</formula>
    </cfRule>
  </conditionalFormatting>
  <conditionalFormatting sqref="F66 I66 L66 O66">
    <cfRule type="expression" dxfId="159" priority="94">
      <formula>ISNUMBER(F66)=FALSE</formula>
    </cfRule>
  </conditionalFormatting>
  <conditionalFormatting sqref="B66:C66">
    <cfRule type="containsBlanks" dxfId="158" priority="93">
      <formula>LEN(TRIM(B66))=0</formula>
    </cfRule>
  </conditionalFormatting>
  <conditionalFormatting sqref="T67">
    <cfRule type="containsText" dxfId="157" priority="92" operator="containsText" text="Error">
      <formula>NOT(ISERROR(SEARCH("Error",T67)))</formula>
    </cfRule>
  </conditionalFormatting>
  <conditionalFormatting sqref="D67:E67">
    <cfRule type="containsBlanks" dxfId="156" priority="91">
      <formula>LEN(TRIM(D67))=0</formula>
    </cfRule>
  </conditionalFormatting>
  <conditionalFormatting sqref="F67 I67 L67 O67">
    <cfRule type="expression" dxfId="155" priority="90">
      <formula>ISNUMBER(F67)=FALSE</formula>
    </cfRule>
  </conditionalFormatting>
  <conditionalFormatting sqref="B67:C67">
    <cfRule type="containsBlanks" dxfId="154" priority="89">
      <formula>LEN(TRIM(B67))=0</formula>
    </cfRule>
  </conditionalFormatting>
  <conditionalFormatting sqref="T68">
    <cfRule type="containsText" dxfId="153" priority="88" operator="containsText" text="Error">
      <formula>NOT(ISERROR(SEARCH("Error",T68)))</formula>
    </cfRule>
  </conditionalFormatting>
  <conditionalFormatting sqref="D68:E68">
    <cfRule type="containsBlanks" dxfId="152" priority="87">
      <formula>LEN(TRIM(D68))=0</formula>
    </cfRule>
  </conditionalFormatting>
  <conditionalFormatting sqref="F68 I68 L68 O68">
    <cfRule type="expression" dxfId="151" priority="86">
      <formula>ISNUMBER(F68)=FALSE</formula>
    </cfRule>
  </conditionalFormatting>
  <conditionalFormatting sqref="B68:C68">
    <cfRule type="containsBlanks" dxfId="150" priority="85">
      <formula>LEN(TRIM(B68))=0</formula>
    </cfRule>
  </conditionalFormatting>
  <conditionalFormatting sqref="T69">
    <cfRule type="containsText" dxfId="149" priority="84" operator="containsText" text="Error">
      <formula>NOT(ISERROR(SEARCH("Error",T69)))</formula>
    </cfRule>
  </conditionalFormatting>
  <conditionalFormatting sqref="D69:E69">
    <cfRule type="containsBlanks" dxfId="148" priority="83">
      <formula>LEN(TRIM(D69))=0</formula>
    </cfRule>
  </conditionalFormatting>
  <conditionalFormatting sqref="F69 I69 L69 O69">
    <cfRule type="expression" dxfId="147" priority="82">
      <formula>ISNUMBER(F69)=FALSE</formula>
    </cfRule>
  </conditionalFormatting>
  <conditionalFormatting sqref="B69:C69">
    <cfRule type="containsBlanks" dxfId="146" priority="81">
      <formula>LEN(TRIM(B69))=0</formula>
    </cfRule>
  </conditionalFormatting>
  <conditionalFormatting sqref="T70">
    <cfRule type="containsText" dxfId="145" priority="80" operator="containsText" text="Error">
      <formula>NOT(ISERROR(SEARCH("Error",T70)))</formula>
    </cfRule>
  </conditionalFormatting>
  <conditionalFormatting sqref="D70:E70">
    <cfRule type="containsBlanks" dxfId="144" priority="79">
      <formula>LEN(TRIM(D70))=0</formula>
    </cfRule>
  </conditionalFormatting>
  <conditionalFormatting sqref="F70 I70 L70 O70">
    <cfRule type="expression" dxfId="143" priority="78">
      <formula>ISNUMBER(F70)=FALSE</formula>
    </cfRule>
  </conditionalFormatting>
  <conditionalFormatting sqref="B70:C70">
    <cfRule type="containsBlanks" dxfId="142" priority="77">
      <formula>LEN(TRIM(B70))=0</formula>
    </cfRule>
  </conditionalFormatting>
  <conditionalFormatting sqref="T71">
    <cfRule type="containsText" dxfId="141" priority="76" operator="containsText" text="Error">
      <formula>NOT(ISERROR(SEARCH("Error",T71)))</formula>
    </cfRule>
  </conditionalFormatting>
  <conditionalFormatting sqref="D71:E71">
    <cfRule type="containsBlanks" dxfId="140" priority="75">
      <formula>LEN(TRIM(D71))=0</formula>
    </cfRule>
  </conditionalFormatting>
  <conditionalFormatting sqref="F71 I71 L71 O71">
    <cfRule type="expression" dxfId="139" priority="74">
      <formula>ISNUMBER(F71)=FALSE</formula>
    </cfRule>
  </conditionalFormatting>
  <conditionalFormatting sqref="B71:C71">
    <cfRule type="containsBlanks" dxfId="138" priority="73">
      <formula>LEN(TRIM(B71))=0</formula>
    </cfRule>
  </conditionalFormatting>
  <conditionalFormatting sqref="T72">
    <cfRule type="containsText" dxfId="137" priority="72" operator="containsText" text="Error">
      <formula>NOT(ISERROR(SEARCH("Error",T72)))</formula>
    </cfRule>
  </conditionalFormatting>
  <conditionalFormatting sqref="D72:E72">
    <cfRule type="containsBlanks" dxfId="136" priority="71">
      <formula>LEN(TRIM(D72))=0</formula>
    </cfRule>
  </conditionalFormatting>
  <conditionalFormatting sqref="F72 I72 L72 O72">
    <cfRule type="expression" dxfId="135" priority="70">
      <formula>ISNUMBER(F72)=FALSE</formula>
    </cfRule>
  </conditionalFormatting>
  <conditionalFormatting sqref="B72:C72">
    <cfRule type="containsBlanks" dxfId="134" priority="69">
      <formula>LEN(TRIM(B72))=0</formula>
    </cfRule>
  </conditionalFormatting>
  <conditionalFormatting sqref="T73">
    <cfRule type="containsText" dxfId="133" priority="68" operator="containsText" text="Error">
      <formula>NOT(ISERROR(SEARCH("Error",T73)))</formula>
    </cfRule>
  </conditionalFormatting>
  <conditionalFormatting sqref="D73:E73">
    <cfRule type="containsBlanks" dxfId="132" priority="67">
      <formula>LEN(TRIM(D73))=0</formula>
    </cfRule>
  </conditionalFormatting>
  <conditionalFormatting sqref="F73 I73 L73 O73">
    <cfRule type="expression" dxfId="131" priority="66">
      <formula>ISNUMBER(F73)=FALSE</formula>
    </cfRule>
  </conditionalFormatting>
  <conditionalFormatting sqref="B73:C73">
    <cfRule type="containsBlanks" dxfId="130" priority="65">
      <formula>LEN(TRIM(B73))=0</formula>
    </cfRule>
  </conditionalFormatting>
  <conditionalFormatting sqref="T74">
    <cfRule type="containsText" dxfId="129" priority="64" operator="containsText" text="Error">
      <formula>NOT(ISERROR(SEARCH("Error",T74)))</formula>
    </cfRule>
  </conditionalFormatting>
  <conditionalFormatting sqref="D74:E74">
    <cfRule type="containsBlanks" dxfId="128" priority="63">
      <formula>LEN(TRIM(D74))=0</formula>
    </cfRule>
  </conditionalFormatting>
  <conditionalFormatting sqref="F74 I74 L74 O74">
    <cfRule type="expression" dxfId="127" priority="62">
      <formula>ISNUMBER(F74)=FALSE</formula>
    </cfRule>
  </conditionalFormatting>
  <conditionalFormatting sqref="B74:C74">
    <cfRule type="containsBlanks" dxfId="126" priority="61">
      <formula>LEN(TRIM(B74))=0</formula>
    </cfRule>
  </conditionalFormatting>
  <conditionalFormatting sqref="T75">
    <cfRule type="containsText" dxfId="125" priority="60" operator="containsText" text="Error">
      <formula>NOT(ISERROR(SEARCH("Error",T75)))</formula>
    </cfRule>
  </conditionalFormatting>
  <conditionalFormatting sqref="D75:E75">
    <cfRule type="containsBlanks" dxfId="124" priority="59">
      <formula>LEN(TRIM(D75))=0</formula>
    </cfRule>
  </conditionalFormatting>
  <conditionalFormatting sqref="F75 I75 L75 O75">
    <cfRule type="expression" dxfId="123" priority="58">
      <formula>ISNUMBER(F75)=FALSE</formula>
    </cfRule>
  </conditionalFormatting>
  <conditionalFormatting sqref="B75:C75">
    <cfRule type="containsBlanks" dxfId="122" priority="57">
      <formula>LEN(TRIM(B75))=0</formula>
    </cfRule>
  </conditionalFormatting>
  <conditionalFormatting sqref="T76">
    <cfRule type="containsText" dxfId="121" priority="56" operator="containsText" text="Error">
      <formula>NOT(ISERROR(SEARCH("Error",T76)))</formula>
    </cfRule>
  </conditionalFormatting>
  <conditionalFormatting sqref="D76:E76">
    <cfRule type="containsBlanks" dxfId="120" priority="55">
      <formula>LEN(TRIM(D76))=0</formula>
    </cfRule>
  </conditionalFormatting>
  <conditionalFormatting sqref="F76 I76 L76 O76">
    <cfRule type="expression" dxfId="119" priority="54">
      <formula>ISNUMBER(F76)=FALSE</formula>
    </cfRule>
  </conditionalFormatting>
  <conditionalFormatting sqref="B76:C76">
    <cfRule type="containsBlanks" dxfId="118" priority="53">
      <formula>LEN(TRIM(B76))=0</formula>
    </cfRule>
  </conditionalFormatting>
  <conditionalFormatting sqref="T77">
    <cfRule type="containsText" dxfId="117" priority="52" operator="containsText" text="Error">
      <formula>NOT(ISERROR(SEARCH("Error",T77)))</formula>
    </cfRule>
  </conditionalFormatting>
  <conditionalFormatting sqref="D77:E77">
    <cfRule type="containsBlanks" dxfId="116" priority="51">
      <formula>LEN(TRIM(D77))=0</formula>
    </cfRule>
  </conditionalFormatting>
  <conditionalFormatting sqref="F77 I77 L77 O77">
    <cfRule type="expression" dxfId="115" priority="50">
      <formula>ISNUMBER(F77)=FALSE</formula>
    </cfRule>
  </conditionalFormatting>
  <conditionalFormatting sqref="B77:C77">
    <cfRule type="containsBlanks" dxfId="114" priority="49">
      <formula>LEN(TRIM(B77))=0</formula>
    </cfRule>
  </conditionalFormatting>
  <conditionalFormatting sqref="T78">
    <cfRule type="containsText" dxfId="113" priority="48" operator="containsText" text="Error">
      <formula>NOT(ISERROR(SEARCH("Error",T78)))</formula>
    </cfRule>
  </conditionalFormatting>
  <conditionalFormatting sqref="D78:E78">
    <cfRule type="containsBlanks" dxfId="112" priority="47">
      <formula>LEN(TRIM(D78))=0</formula>
    </cfRule>
  </conditionalFormatting>
  <conditionalFormatting sqref="F78 I78 L78 O78">
    <cfRule type="expression" dxfId="111" priority="46">
      <formula>ISNUMBER(F78)=FALSE</formula>
    </cfRule>
  </conditionalFormatting>
  <conditionalFormatting sqref="B78:C78">
    <cfRule type="containsBlanks" dxfId="110" priority="45">
      <formula>LEN(TRIM(B78))=0</formula>
    </cfRule>
  </conditionalFormatting>
  <conditionalFormatting sqref="T79">
    <cfRule type="containsText" dxfId="109" priority="44" operator="containsText" text="Error">
      <formula>NOT(ISERROR(SEARCH("Error",T79)))</formula>
    </cfRule>
  </conditionalFormatting>
  <conditionalFormatting sqref="D79:E79">
    <cfRule type="containsBlanks" dxfId="108" priority="43">
      <formula>LEN(TRIM(D79))=0</formula>
    </cfRule>
  </conditionalFormatting>
  <conditionalFormatting sqref="F79 I79 L79 O79">
    <cfRule type="expression" dxfId="107" priority="42">
      <formula>ISNUMBER(F79)=FALSE</formula>
    </cfRule>
  </conditionalFormatting>
  <conditionalFormatting sqref="B79:C79">
    <cfRule type="containsBlanks" dxfId="106" priority="41">
      <formula>LEN(TRIM(B79))=0</formula>
    </cfRule>
  </conditionalFormatting>
  <conditionalFormatting sqref="T80">
    <cfRule type="containsText" dxfId="105" priority="40" operator="containsText" text="Error">
      <formula>NOT(ISERROR(SEARCH("Error",T80)))</formula>
    </cfRule>
  </conditionalFormatting>
  <conditionalFormatting sqref="D80:E80">
    <cfRule type="containsBlanks" dxfId="104" priority="39">
      <formula>LEN(TRIM(D80))=0</formula>
    </cfRule>
  </conditionalFormatting>
  <conditionalFormatting sqref="F80 I80 L80 O80">
    <cfRule type="expression" dxfId="103" priority="38">
      <formula>ISNUMBER(F80)=FALSE</formula>
    </cfRule>
  </conditionalFormatting>
  <conditionalFormatting sqref="B80:C80">
    <cfRule type="containsBlanks" dxfId="102" priority="37">
      <formula>LEN(TRIM(B80))=0</formula>
    </cfRule>
  </conditionalFormatting>
  <conditionalFormatting sqref="T81">
    <cfRule type="containsText" dxfId="101" priority="36" operator="containsText" text="Error">
      <formula>NOT(ISERROR(SEARCH("Error",T81)))</formula>
    </cfRule>
  </conditionalFormatting>
  <conditionalFormatting sqref="D81:E81">
    <cfRule type="containsBlanks" dxfId="100" priority="35">
      <formula>LEN(TRIM(D81))=0</formula>
    </cfRule>
  </conditionalFormatting>
  <conditionalFormatting sqref="F81 I81 L81 O81">
    <cfRule type="expression" dxfId="99" priority="34">
      <formula>ISNUMBER(F81)=FALSE</formula>
    </cfRule>
  </conditionalFormatting>
  <conditionalFormatting sqref="B81:C81">
    <cfRule type="containsBlanks" dxfId="98" priority="33">
      <formula>LEN(TRIM(B81))=0</formula>
    </cfRule>
  </conditionalFormatting>
  <conditionalFormatting sqref="T82">
    <cfRule type="containsText" dxfId="97" priority="32" operator="containsText" text="Error">
      <formula>NOT(ISERROR(SEARCH("Error",T82)))</formula>
    </cfRule>
  </conditionalFormatting>
  <conditionalFormatting sqref="D82:E82">
    <cfRule type="containsBlanks" dxfId="96" priority="31">
      <formula>LEN(TRIM(D82))=0</formula>
    </cfRule>
  </conditionalFormatting>
  <conditionalFormatting sqref="F82 I82 L82 O82">
    <cfRule type="expression" dxfId="95" priority="30">
      <formula>ISNUMBER(F82)=FALSE</formula>
    </cfRule>
  </conditionalFormatting>
  <conditionalFormatting sqref="B82:C82">
    <cfRule type="containsBlanks" dxfId="94" priority="29">
      <formula>LEN(TRIM(B82))=0</formula>
    </cfRule>
  </conditionalFormatting>
  <conditionalFormatting sqref="T83">
    <cfRule type="containsText" dxfId="93" priority="28" operator="containsText" text="Error">
      <formula>NOT(ISERROR(SEARCH("Error",T83)))</formula>
    </cfRule>
  </conditionalFormatting>
  <conditionalFormatting sqref="D83:E83">
    <cfRule type="containsBlanks" dxfId="92" priority="27">
      <formula>LEN(TRIM(D83))=0</formula>
    </cfRule>
  </conditionalFormatting>
  <conditionalFormatting sqref="F83 I83 L83 O83">
    <cfRule type="expression" dxfId="91" priority="26">
      <formula>ISNUMBER(F83)=FALSE</formula>
    </cfRule>
  </conditionalFormatting>
  <conditionalFormatting sqref="B83:C83">
    <cfRule type="containsBlanks" dxfId="90" priority="25">
      <formula>LEN(TRIM(B83))=0</formula>
    </cfRule>
  </conditionalFormatting>
  <conditionalFormatting sqref="T84">
    <cfRule type="containsText" dxfId="89" priority="24" operator="containsText" text="Error">
      <formula>NOT(ISERROR(SEARCH("Error",T84)))</formula>
    </cfRule>
  </conditionalFormatting>
  <conditionalFormatting sqref="D84:E84">
    <cfRule type="containsBlanks" dxfId="88" priority="23">
      <formula>LEN(TRIM(D84))=0</formula>
    </cfRule>
  </conditionalFormatting>
  <conditionalFormatting sqref="F84 I84 L84 O84">
    <cfRule type="expression" dxfId="87" priority="22">
      <formula>ISNUMBER(F84)=FALSE</formula>
    </cfRule>
  </conditionalFormatting>
  <conditionalFormatting sqref="B84:C84">
    <cfRule type="containsBlanks" dxfId="86" priority="21">
      <formula>LEN(TRIM(B84))=0</formula>
    </cfRule>
  </conditionalFormatting>
  <conditionalFormatting sqref="T85">
    <cfRule type="containsText" dxfId="85" priority="20" operator="containsText" text="Error">
      <formula>NOT(ISERROR(SEARCH("Error",T85)))</formula>
    </cfRule>
  </conditionalFormatting>
  <conditionalFormatting sqref="D85:E85">
    <cfRule type="containsBlanks" dxfId="84" priority="19">
      <formula>LEN(TRIM(D85))=0</formula>
    </cfRule>
  </conditionalFormatting>
  <conditionalFormatting sqref="F85 I85 L85 O85">
    <cfRule type="expression" dxfId="83" priority="18">
      <formula>ISNUMBER(F85)=FALSE</formula>
    </cfRule>
  </conditionalFormatting>
  <conditionalFormatting sqref="B85:C85">
    <cfRule type="containsBlanks" dxfId="82" priority="17">
      <formula>LEN(TRIM(B85))=0</formula>
    </cfRule>
  </conditionalFormatting>
  <conditionalFormatting sqref="T86">
    <cfRule type="containsText" dxfId="81" priority="16" operator="containsText" text="Error">
      <formula>NOT(ISERROR(SEARCH("Error",T86)))</formula>
    </cfRule>
  </conditionalFormatting>
  <conditionalFormatting sqref="D86:E86">
    <cfRule type="containsBlanks" dxfId="80" priority="15">
      <formula>LEN(TRIM(D86))=0</formula>
    </cfRule>
  </conditionalFormatting>
  <conditionalFormatting sqref="F86 I86 L86 O86">
    <cfRule type="expression" dxfId="79" priority="14">
      <formula>ISNUMBER(F86)=FALSE</formula>
    </cfRule>
  </conditionalFormatting>
  <conditionalFormatting sqref="B86:C86">
    <cfRule type="containsBlanks" dxfId="78" priority="13">
      <formula>LEN(TRIM(B86))=0</formula>
    </cfRule>
  </conditionalFormatting>
  <conditionalFormatting sqref="T87">
    <cfRule type="containsText" dxfId="77" priority="12" operator="containsText" text="Error">
      <formula>NOT(ISERROR(SEARCH("Error",T87)))</formula>
    </cfRule>
  </conditionalFormatting>
  <conditionalFormatting sqref="D87:E87">
    <cfRule type="containsBlanks" dxfId="76" priority="11">
      <formula>LEN(TRIM(D87))=0</formula>
    </cfRule>
  </conditionalFormatting>
  <conditionalFormatting sqref="F87 I87 L87 O87">
    <cfRule type="expression" dxfId="75" priority="10">
      <formula>ISNUMBER(F87)=FALSE</formula>
    </cfRule>
  </conditionalFormatting>
  <conditionalFormatting sqref="B87:C87">
    <cfRule type="containsBlanks" dxfId="74" priority="9">
      <formula>LEN(TRIM(B87))=0</formula>
    </cfRule>
  </conditionalFormatting>
  <conditionalFormatting sqref="T88">
    <cfRule type="containsText" dxfId="73" priority="8" operator="containsText" text="Error">
      <formula>NOT(ISERROR(SEARCH("Error",T88)))</formula>
    </cfRule>
  </conditionalFormatting>
  <conditionalFormatting sqref="D88:E88">
    <cfRule type="containsBlanks" dxfId="72" priority="7">
      <formula>LEN(TRIM(D88))=0</formula>
    </cfRule>
  </conditionalFormatting>
  <conditionalFormatting sqref="F88 I88 L88 O88">
    <cfRule type="expression" dxfId="71" priority="6">
      <formula>ISNUMBER(F88)=FALSE</formula>
    </cfRule>
  </conditionalFormatting>
  <conditionalFormatting sqref="B88:C88">
    <cfRule type="containsBlanks" dxfId="70" priority="5">
      <formula>LEN(TRIM(B88))=0</formula>
    </cfRule>
  </conditionalFormatting>
  <conditionalFormatting sqref="T89">
    <cfRule type="containsText" dxfId="69" priority="4" operator="containsText" text="Error">
      <formula>NOT(ISERROR(SEARCH("Error",T89)))</formula>
    </cfRule>
  </conditionalFormatting>
  <conditionalFormatting sqref="D89:E89">
    <cfRule type="containsBlanks" dxfId="68" priority="3">
      <formula>LEN(TRIM(D89))=0</formula>
    </cfRule>
  </conditionalFormatting>
  <conditionalFormatting sqref="F89 I89 L89 O89">
    <cfRule type="expression" dxfId="67" priority="2">
      <formula>ISNUMBER(F89)=FALSE</formula>
    </cfRule>
  </conditionalFormatting>
  <conditionalFormatting sqref="B89:C89">
    <cfRule type="containsBlanks" dxfId="66" priority="1">
      <formula>LEN(TRIM(B89))=0</formula>
    </cfRule>
  </conditionalFormatting>
  <dataValidations count="4">
    <dataValidation allowBlank="1" showInputMessage="1" errorTitle="Warning: Max Ceilings exceeded" error="Please be aware that this exceed the &quot;Ceilings&quot; for the maximum amounts for staff cost by country" sqref="G13:G89 M13:M89 J13:J89 P13:P89" xr:uid="{00000000-0002-0000-0200-000000000000}"/>
    <dataValidation type="custom" allowBlank="1" showInputMessage="1" showErrorMessage="1" error="Format error (1 decimal only)" prompt="Please encode number of days - 1 decimal only" sqref="L13:L89 F13:F89 I13:I89 O13:O89" xr:uid="{00000000-0002-0000-0200-000001000000}">
      <formula1>F13=INT(F13*10)/10</formula1>
    </dataValidation>
    <dataValidation type="list" allowBlank="1" showInputMessage="1" showErrorMessage="1" error="Click arrow to select Work Package" prompt="Click arrow to select Work Package" sqref="B13:B89" xr:uid="{00000000-0002-0000-0200-000002000000}">
      <formula1>WorkPackage</formula1>
    </dataValidation>
    <dataValidation type="list" allowBlank="1" showInputMessage="1" showErrorMessage="1" error="Click arrow to select Partner N°" prompt="Click arrow to select Partner N°" sqref="C13:C89"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row r="2" spans="2:18" s="20" customFormat="1" ht="39.950000000000003" customHeight="1">
      <c r="B2" s="147" t="s">
        <v>128</v>
      </c>
      <c r="C2" s="147"/>
      <c r="D2" s="147"/>
      <c r="E2" s="147"/>
      <c r="F2" s="147"/>
      <c r="G2" s="147"/>
      <c r="H2" s="147"/>
      <c r="I2" s="147"/>
      <c r="J2" s="147"/>
      <c r="K2" s="147"/>
      <c r="L2" s="147"/>
      <c r="M2" s="147"/>
      <c r="N2" s="147"/>
      <c r="O2" s="147"/>
      <c r="P2" s="147"/>
      <c r="Q2" s="147"/>
      <c r="R2" s="147"/>
    </row>
    <row r="3" spans="2:18" s="20" customFormat="1" ht="8.1" customHeight="1">
      <c r="B3" s="128"/>
      <c r="C3" s="129"/>
      <c r="D3" s="129"/>
      <c r="E3" s="129"/>
      <c r="F3" s="129"/>
      <c r="G3" s="129"/>
      <c r="H3" s="129"/>
      <c r="I3" s="129"/>
      <c r="J3" s="129"/>
      <c r="K3" s="129"/>
      <c r="L3" s="129"/>
      <c r="M3" s="129"/>
      <c r="N3" s="129"/>
      <c r="O3" s="129"/>
      <c r="P3" s="129"/>
      <c r="Q3" s="129"/>
      <c r="R3" s="130"/>
    </row>
    <row r="4" spans="2:18" s="20" customFormat="1" ht="20.100000000000001" customHeight="1">
      <c r="B4" s="154" t="s">
        <v>129</v>
      </c>
      <c r="C4" s="155"/>
      <c r="D4" s="51">
        <f>SUMIF(G:G,"Student",O:O)</f>
        <v>0</v>
      </c>
      <c r="E4" s="169">
        <f>D4+D5</f>
        <v>0</v>
      </c>
      <c r="F4" s="152">
        <f>SUMIFS(H:H,G:G,"Student",R:R,"&lt;&gt;Error")</f>
        <v>0</v>
      </c>
      <c r="G4" s="49"/>
      <c r="L4" s="144" t="s">
        <v>130</v>
      </c>
      <c r="M4" s="145"/>
      <c r="N4" s="146"/>
      <c r="O4" s="90"/>
      <c r="P4" s="90"/>
      <c r="Q4" s="90"/>
      <c r="R4" s="77"/>
    </row>
    <row r="5" spans="2:18" s="20" customFormat="1" ht="20.100000000000001" customHeight="1">
      <c r="B5" s="142" t="s">
        <v>131</v>
      </c>
      <c r="C5" s="143"/>
      <c r="D5" s="52">
        <f>SUMIF(G:G,"Student",P:P)</f>
        <v>0</v>
      </c>
      <c r="E5" s="170"/>
      <c r="F5" s="153"/>
      <c r="G5" s="49"/>
      <c r="H5" s="50"/>
      <c r="I5" s="50"/>
      <c r="J5" s="50"/>
      <c r="L5" s="156" t="s">
        <v>132</v>
      </c>
      <c r="M5" s="157"/>
      <c r="N5" s="158"/>
      <c r="O5" s="50"/>
      <c r="P5" s="50"/>
      <c r="Q5" s="50"/>
      <c r="R5" s="77"/>
    </row>
    <row r="6" spans="2:18" s="20" customFormat="1" ht="20.100000000000001" customHeight="1">
      <c r="B6" s="154" t="s">
        <v>133</v>
      </c>
      <c r="C6" s="155"/>
      <c r="D6" s="51">
        <f>SUMIF(G:G,"Staff",O:O)</f>
        <v>0</v>
      </c>
      <c r="E6" s="167">
        <f>D6+D7</f>
        <v>0</v>
      </c>
      <c r="F6" s="150">
        <f>SUMIFS(H:H,G:G,"Staff",R:R,"&lt;&gt;Error")</f>
        <v>0</v>
      </c>
      <c r="G6" s="49"/>
      <c r="L6" s="159"/>
      <c r="M6" s="160"/>
      <c r="N6" s="161"/>
      <c r="R6" s="77"/>
    </row>
    <row r="7" spans="2:18" s="20" customFormat="1" ht="20.100000000000001" customHeight="1">
      <c r="B7" s="142" t="s">
        <v>134</v>
      </c>
      <c r="C7" s="143"/>
      <c r="D7" s="52">
        <f>SUMIF(G:G,"Staff",P:P)</f>
        <v>0</v>
      </c>
      <c r="E7" s="168"/>
      <c r="F7" s="151"/>
      <c r="G7" s="49"/>
      <c r="L7" s="159"/>
      <c r="M7" s="160"/>
      <c r="N7" s="161"/>
      <c r="R7" s="77"/>
    </row>
    <row r="8" spans="2:18" s="20" customFormat="1" ht="20.100000000000001" customHeight="1">
      <c r="B8" s="154" t="s">
        <v>135</v>
      </c>
      <c r="C8" s="155"/>
      <c r="D8" s="51">
        <f>SUM(O:O)</f>
        <v>0</v>
      </c>
      <c r="E8" s="165">
        <f>D8+D9</f>
        <v>0</v>
      </c>
      <c r="F8" s="148">
        <f>F4+F6</f>
        <v>0</v>
      </c>
      <c r="G8" s="49"/>
      <c r="L8" s="159"/>
      <c r="M8" s="160"/>
      <c r="N8" s="161"/>
      <c r="R8" s="77"/>
    </row>
    <row r="9" spans="2:18" s="20" customFormat="1" ht="20.100000000000001" customHeight="1">
      <c r="B9" s="142" t="s">
        <v>136</v>
      </c>
      <c r="C9" s="143"/>
      <c r="D9" s="52">
        <f>SUM(P:P)</f>
        <v>0</v>
      </c>
      <c r="E9" s="166"/>
      <c r="F9" s="149"/>
      <c r="G9" s="49"/>
      <c r="L9" s="159"/>
      <c r="M9" s="160"/>
      <c r="N9" s="161"/>
      <c r="R9" s="77"/>
    </row>
    <row r="10" spans="2:18" s="20" customFormat="1">
      <c r="B10" s="142" t="s">
        <v>137</v>
      </c>
      <c r="C10" s="143"/>
      <c r="D10" s="52">
        <f>SUM(N:N)</f>
        <v>0</v>
      </c>
      <c r="L10" s="159"/>
      <c r="M10" s="160"/>
      <c r="N10" s="161"/>
      <c r="R10" s="94"/>
    </row>
    <row r="11" spans="2:18" s="45" customFormat="1" ht="62.25" customHeight="1">
      <c r="B11" s="86"/>
      <c r="L11" s="162"/>
      <c r="M11" s="163"/>
      <c r="N11" s="164"/>
      <c r="R11" s="87"/>
    </row>
    <row r="12" spans="2:18" ht="75" customHeight="1">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c r="B14" s="14"/>
      <c r="C14" s="19"/>
      <c r="D14" s="42" t="str">
        <f t="shared" si="0"/>
        <v/>
      </c>
      <c r="E14" s="42" t="str">
        <f t="shared" si="1"/>
        <v/>
      </c>
      <c r="F14" s="18"/>
      <c r="G14" s="78"/>
      <c r="H14" s="79"/>
      <c r="I14" s="18"/>
      <c r="J14" s="14"/>
      <c r="K14" s="79"/>
      <c r="L14" s="92"/>
      <c r="M14" s="93"/>
      <c r="N14" s="37">
        <f>IF(AND(M14&gt;0,L14&lt;&gt;""),IF(M14&gt;(ROUND( (ROUND(ROUND(H14,0)*(VLOOKUP(J14,TravelCosts,2,FALSE)),2))/0.65,2)),ROUND(M14*0.8,2),"covered by unit cost"),0)</f>
        <v>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0</v>
      </c>
      <c r="Q14" s="38">
        <f>IFERROR(N14+O14+P14,O14+P14)</f>
        <v>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c r="M16" s="96"/>
    </row>
    <row r="18" spans="12:15">
      <c r="L18" s="95"/>
      <c r="M18" s="95"/>
    </row>
    <row r="19" spans="12:15">
      <c r="M19" s="95"/>
      <c r="N19" s="95"/>
      <c r="O19" s="95"/>
    </row>
  </sheetData>
  <sheetProtection algorithmName="SHA-512" hashValue="JHEotUiHcJcKhHcjMe7Po37k5Al/SAHRaJ36sWzitRgbAYK/9fR2DXrqmKvBfDWGF4j/dhpk9fTFNyrdILirMA==" saltValue="TcBN46owiFV2R5X7UP7MUg==" spinCount="100000" sheet="1" selectLockedCells="1"/>
  <dataConsolidate/>
  <mergeCells count="17">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xr:uid="{00000000-0002-0000-0300-000000000000}"/>
    <dataValidation allowBlank="1" showInputMessage="1" showErrorMessage="1" error="Please encode City of Destination" prompt="Please encode City of Destination" sqref="I13:I14" xr:uid="{00000000-0002-0000-0300-000001000000}"/>
    <dataValidation type="whole" allowBlank="1" showInputMessage="1" showErrorMessage="1" error="Format error (whole number only)" prompt="Please encode number (whole number only)" sqref="H13:H14" xr:uid="{00000000-0002-0000-0300-000002000000}">
      <formula1>0</formula1>
      <formula2>50000</formula2>
    </dataValidation>
    <dataValidation allowBlank="1" showInputMessage="1" showErrorMessage="1" error="Please encode City of Departure" prompt="Please encode City of Departure" sqref="F13:F1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4" xr:uid="{00000000-0002-0000-0300-000004000000}">
      <formula1>0</formula1>
      <formula2>90</formula2>
    </dataValidation>
    <dataValidation type="list" allowBlank="1" showInputMessage="1" showErrorMessage="1" error="Click arrow to select Category" prompt="Click arrow to select Category" sqref="G13:G14" xr:uid="{00000000-0002-0000-0300-000005000000}">
      <formula1>Category2</formula1>
    </dataValidation>
    <dataValidation type="list" allowBlank="1" showInputMessage="1" showErrorMessage="1" error="Click arrow to select Work Package" prompt="Click arrow to select Work Package" sqref="B13:B14" xr:uid="{00000000-0002-0000-0300-000006000000}">
      <formula1>WorkPackage</formula1>
    </dataValidation>
    <dataValidation type="list" allowBlank="1" showInputMessage="1" showErrorMessage="1" error="Click arrow to select Distance" prompt="Click arrow to select Distance" sqref="J13:J14" xr:uid="{00000000-0002-0000-0300-000007000000}">
      <formula1>TravelBands</formula1>
    </dataValidation>
    <dataValidation type="list" allowBlank="1" showInputMessage="1" showErrorMessage="1" error="Click arrow to select Partner N°" prompt="Click arrow to select Partner N°" sqref="C13:C14" xr:uid="{00000000-0002-0000-0300-000008000000}">
      <formula1>PartnerN°</formula1>
    </dataValidation>
    <dataValidation type="list" allowBlank="1" showInputMessage="1" showErrorMessage="1" errorTitle="Select correct option" error="Please use the drop down menu to select the correct option" sqref="L13:L14" xr:uid="{00000000-0002-0000-0300-000009000000}">
      <formula1>Exceptional_costs</formula1>
    </dataValidation>
    <dataValidation type="decimal" operator="greaterThanOrEqual" allowBlank="1" showInputMessage="1" showErrorMessage="1" errorTitle="Warning: Cost must be number" error="Please enter a numeric value." sqref="M13:M1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4"/>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1"/>
      <c r="C1" s="171"/>
      <c r="D1" s="171"/>
      <c r="E1" s="171"/>
      <c r="F1" s="171"/>
      <c r="G1" s="171"/>
      <c r="H1" s="171"/>
      <c r="I1" s="171"/>
    </row>
    <row r="2" spans="2:9" s="20" customFormat="1" ht="39.950000000000003" customHeight="1">
      <c r="B2" s="147" t="s">
        <v>13</v>
      </c>
      <c r="C2" s="147"/>
      <c r="D2" s="147"/>
      <c r="E2" s="147"/>
      <c r="F2" s="147"/>
      <c r="G2" s="147"/>
      <c r="H2" s="147"/>
      <c r="I2" s="147"/>
    </row>
    <row r="3" spans="2:9" s="20" customFormat="1" ht="8.1" customHeight="1">
      <c r="B3" s="128"/>
      <c r="C3" s="129"/>
      <c r="D3" s="129"/>
      <c r="E3" s="129"/>
      <c r="F3" s="129"/>
      <c r="G3" s="129"/>
      <c r="H3" s="129"/>
      <c r="I3" s="130"/>
    </row>
    <row r="4" spans="2:9" s="20" customFormat="1" ht="9.9499999999999993" customHeight="1">
      <c r="B4" s="174" t="s">
        <v>108</v>
      </c>
      <c r="C4" s="177">
        <f>SUM(H:H)</f>
        <v>0</v>
      </c>
      <c r="D4" s="178"/>
      <c r="E4" s="122"/>
      <c r="F4" s="123"/>
      <c r="G4" s="123"/>
      <c r="H4" s="123"/>
      <c r="I4" s="124"/>
    </row>
    <row r="5" spans="2:9" s="20" customFormat="1" ht="9.9499999999999993" customHeight="1">
      <c r="B5" s="175"/>
      <c r="C5" s="179"/>
      <c r="D5" s="180"/>
      <c r="E5" s="122"/>
      <c r="F5" s="123"/>
      <c r="G5" s="123"/>
      <c r="H5" s="123"/>
      <c r="I5" s="124"/>
    </row>
    <row r="6" spans="2:9" s="20" customFormat="1" ht="9.9499999999999993" customHeight="1">
      <c r="B6" s="175"/>
      <c r="C6" s="179"/>
      <c r="D6" s="180"/>
      <c r="E6" s="122"/>
      <c r="F6" s="123"/>
      <c r="G6" s="123"/>
      <c r="H6" s="123"/>
      <c r="I6" s="124"/>
    </row>
    <row r="7" spans="2:9" s="20" customFormat="1" ht="9.9499999999999993" customHeight="1">
      <c r="B7" s="175"/>
      <c r="C7" s="179"/>
      <c r="D7" s="180"/>
      <c r="E7" s="122"/>
      <c r="F7" s="123"/>
      <c r="G7" s="123"/>
      <c r="H7" s="123"/>
      <c r="I7" s="124"/>
    </row>
    <row r="8" spans="2:9" s="20" customFormat="1" ht="9.9499999999999993" customHeight="1">
      <c r="B8" s="175"/>
      <c r="C8" s="179"/>
      <c r="D8" s="180"/>
      <c r="E8" s="122"/>
      <c r="F8" s="123"/>
      <c r="G8" s="123"/>
      <c r="H8" s="123"/>
      <c r="I8" s="124"/>
    </row>
    <row r="9" spans="2:9" s="20" customFormat="1" ht="9.9499999999999993" customHeight="1">
      <c r="B9" s="176"/>
      <c r="C9" s="181"/>
      <c r="D9" s="182"/>
      <c r="E9" s="122"/>
      <c r="F9" s="123"/>
      <c r="G9" s="123"/>
      <c r="H9" s="123"/>
      <c r="I9" s="124"/>
    </row>
    <row r="10" spans="2:9" s="20" customFormat="1" ht="8.1" customHeight="1">
      <c r="B10" s="125"/>
      <c r="C10" s="126"/>
      <c r="D10" s="126"/>
      <c r="E10" s="126"/>
      <c r="F10" s="126"/>
      <c r="G10" s="126"/>
      <c r="H10" s="126"/>
      <c r="I10" s="127"/>
    </row>
    <row r="11" spans="2:9" s="45" customFormat="1" ht="42" customHeight="1">
      <c r="B11" s="120" t="s">
        <v>114</v>
      </c>
      <c r="C11" s="120" t="s">
        <v>18</v>
      </c>
      <c r="D11" s="120" t="s">
        <v>115</v>
      </c>
      <c r="E11" s="173" t="s">
        <v>116</v>
      </c>
      <c r="F11" s="132" t="s">
        <v>148</v>
      </c>
      <c r="G11" s="172" t="s">
        <v>149</v>
      </c>
      <c r="H11" s="172" t="s">
        <v>122</v>
      </c>
      <c r="I11" s="172" t="s">
        <v>119</v>
      </c>
    </row>
    <row r="12" spans="2:9" ht="23.85" customHeight="1">
      <c r="B12" s="121"/>
      <c r="C12" s="121"/>
      <c r="D12" s="121"/>
      <c r="E12" s="132"/>
      <c r="F12" s="121"/>
      <c r="G12" s="121"/>
      <c r="H12" s="121"/>
      <c r="I12" s="121"/>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xr:uid="{00000000-0002-0000-0400-000000000000}">
      <formula1>G13=INT(G13*100)/100</formula1>
    </dataValidation>
    <dataValidation allowBlank="1" showInputMessage="1" showErrorMessage="1" error="Please encode Nature, type and specifications" prompt="Please encode Nature, type and specifications" sqref="F13:F14" xr:uid="{00000000-0002-0000-0400-000001000000}"/>
    <dataValidation type="list" allowBlank="1" showInputMessage="1" showErrorMessage="1" error="Click arrow to select Work Package" prompt="Click arrow to select Work Package" sqref="B13:B14" xr:uid="{00000000-0002-0000-0400-000002000000}">
      <formula1>WorkPackage</formula1>
    </dataValidation>
    <dataValidation type="list" allowBlank="1" showInputMessage="1" showErrorMessage="1" error="Click arrow to select Partner N°" prompt="Click arrow to select Partner N°" sqref="C13:C14"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c r="B1" s="171"/>
      <c r="C1" s="171"/>
      <c r="D1" s="171"/>
      <c r="E1" s="171"/>
      <c r="F1" s="171"/>
      <c r="G1" s="171"/>
      <c r="H1" s="171"/>
      <c r="I1" s="171"/>
    </row>
    <row r="2" spans="2:9" s="20" customFormat="1" ht="39.950000000000003" customHeight="1">
      <c r="B2" s="147" t="s">
        <v>14</v>
      </c>
      <c r="C2" s="147"/>
      <c r="D2" s="147"/>
      <c r="E2" s="147"/>
      <c r="F2" s="147"/>
      <c r="G2" s="147"/>
      <c r="H2" s="147"/>
      <c r="I2" s="147"/>
    </row>
    <row r="3" spans="2:9" s="20" customFormat="1" ht="8.1" customHeight="1">
      <c r="B3" s="128"/>
      <c r="C3" s="129"/>
      <c r="D3" s="129"/>
      <c r="E3" s="129"/>
      <c r="F3" s="129"/>
      <c r="G3" s="129"/>
      <c r="H3" s="129"/>
      <c r="I3" s="130"/>
    </row>
    <row r="4" spans="2:9" s="20" customFormat="1" ht="9.9499999999999993" customHeight="1">
      <c r="B4" s="174" t="s">
        <v>108</v>
      </c>
      <c r="C4" s="177">
        <f>SUM(H:H)</f>
        <v>0</v>
      </c>
      <c r="D4" s="178"/>
      <c r="E4" s="122"/>
      <c r="F4" s="123"/>
      <c r="G4" s="123"/>
      <c r="H4" s="123"/>
      <c r="I4" s="124"/>
    </row>
    <row r="5" spans="2:9" s="20" customFormat="1" ht="9.9499999999999993" customHeight="1">
      <c r="B5" s="175"/>
      <c r="C5" s="179"/>
      <c r="D5" s="180"/>
      <c r="E5" s="122"/>
      <c r="F5" s="123"/>
      <c r="G5" s="123"/>
      <c r="H5" s="123"/>
      <c r="I5" s="124"/>
    </row>
    <row r="6" spans="2:9" s="20" customFormat="1" ht="9.9499999999999993" customHeight="1">
      <c r="B6" s="175"/>
      <c r="C6" s="179"/>
      <c r="D6" s="180"/>
      <c r="E6" s="122"/>
      <c r="F6" s="123"/>
      <c r="G6" s="123"/>
      <c r="H6" s="123"/>
      <c r="I6" s="124"/>
    </row>
    <row r="7" spans="2:9" s="20" customFormat="1" ht="9.9499999999999993" customHeight="1">
      <c r="B7" s="175"/>
      <c r="C7" s="179"/>
      <c r="D7" s="180"/>
      <c r="E7" s="122"/>
      <c r="F7" s="123"/>
      <c r="G7" s="123"/>
      <c r="H7" s="123"/>
      <c r="I7" s="124"/>
    </row>
    <row r="8" spans="2:9" s="20" customFormat="1" ht="9.9499999999999993" customHeight="1">
      <c r="B8" s="175"/>
      <c r="C8" s="179"/>
      <c r="D8" s="180"/>
      <c r="E8" s="122"/>
      <c r="F8" s="123"/>
      <c r="G8" s="123"/>
      <c r="H8" s="123"/>
      <c r="I8" s="124"/>
    </row>
    <row r="9" spans="2:9" s="20" customFormat="1" ht="9.9499999999999993" customHeight="1">
      <c r="B9" s="176"/>
      <c r="C9" s="181"/>
      <c r="D9" s="182"/>
      <c r="E9" s="122"/>
      <c r="F9" s="123"/>
      <c r="G9" s="123"/>
      <c r="H9" s="123"/>
      <c r="I9" s="124"/>
    </row>
    <row r="10" spans="2:9" s="20" customFormat="1" ht="8.1" customHeight="1">
      <c r="B10" s="125"/>
      <c r="C10" s="126"/>
      <c r="D10" s="126"/>
      <c r="E10" s="126"/>
      <c r="F10" s="126"/>
      <c r="G10" s="126"/>
      <c r="H10" s="126"/>
      <c r="I10" s="127"/>
    </row>
    <row r="11" spans="2:9" s="45" customFormat="1" ht="42" customHeight="1">
      <c r="B11" s="120" t="s">
        <v>114</v>
      </c>
      <c r="C11" s="120" t="s">
        <v>18</v>
      </c>
      <c r="D11" s="120" t="s">
        <v>115</v>
      </c>
      <c r="E11" s="120" t="s">
        <v>116</v>
      </c>
      <c r="F11" s="132" t="s">
        <v>148</v>
      </c>
      <c r="G11" s="172" t="s">
        <v>149</v>
      </c>
      <c r="H11" s="172" t="s">
        <v>122</v>
      </c>
      <c r="I11" s="172" t="s">
        <v>119</v>
      </c>
    </row>
    <row r="12" spans="2:9" ht="23.85" customHeight="1">
      <c r="B12" s="121"/>
      <c r="C12" s="121"/>
      <c r="D12" s="121"/>
      <c r="E12" s="121"/>
      <c r="F12" s="121"/>
      <c r="G12" s="121"/>
      <c r="H12" s="121"/>
      <c r="I12" s="121"/>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70" zoomScaleNormal="70" zoomScaleSheetLayoutView="55" workbookViewId="0">
      <pane ySplit="13" topLeftCell="B14" activePane="bottomLeft" state="frozen"/>
      <selection pane="bottomLeft" activeCell="B14" sqref="B14"/>
    </sheetView>
  </sheetViews>
  <sheetFormatPr defaultColWidth="9.140625" defaultRowHeight="18"/>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c r="B1" s="171"/>
      <c r="C1" s="171"/>
      <c r="D1" s="171"/>
      <c r="E1" s="171"/>
      <c r="F1" s="171"/>
      <c r="G1" s="171"/>
      <c r="H1" s="171"/>
      <c r="I1" s="171"/>
      <c r="J1" s="171"/>
    </row>
    <row r="2" spans="2:10" s="20" customFormat="1" ht="39.950000000000003" customHeight="1">
      <c r="B2" s="131" t="s">
        <v>150</v>
      </c>
      <c r="C2" s="131"/>
      <c r="D2" s="131"/>
      <c r="E2" s="131"/>
      <c r="F2" s="131"/>
      <c r="G2" s="131"/>
      <c r="H2" s="131"/>
      <c r="I2" s="131"/>
      <c r="J2" s="131"/>
    </row>
    <row r="3" spans="2:10" s="20" customFormat="1" ht="8.1" customHeight="1">
      <c r="B3" s="128"/>
      <c r="C3" s="129"/>
      <c r="D3" s="129"/>
      <c r="E3" s="129"/>
      <c r="F3" s="129"/>
      <c r="G3" s="129"/>
      <c r="H3" s="129"/>
      <c r="I3" s="129"/>
      <c r="J3" s="130"/>
    </row>
    <row r="4" spans="2:10" s="20" customFormat="1" ht="9.9499999999999993" customHeight="1">
      <c r="B4" s="186" t="s">
        <v>108</v>
      </c>
      <c r="C4" s="183">
        <f>SUM(I:I)</f>
        <v>0</v>
      </c>
      <c r="D4" s="189"/>
      <c r="E4" s="190"/>
      <c r="F4" s="190"/>
      <c r="G4" s="190"/>
      <c r="H4" s="190"/>
      <c r="I4" s="190"/>
      <c r="J4" s="191"/>
    </row>
    <row r="5" spans="2:10" s="20" customFormat="1" ht="9.9499999999999993" customHeight="1">
      <c r="B5" s="187"/>
      <c r="C5" s="184"/>
      <c r="D5" s="189"/>
      <c r="E5" s="190"/>
      <c r="F5" s="190"/>
      <c r="G5" s="190"/>
      <c r="H5" s="190"/>
      <c r="I5" s="190"/>
      <c r="J5" s="191"/>
    </row>
    <row r="6" spans="2:10" s="20" customFormat="1" ht="9.9499999999999993" customHeight="1">
      <c r="B6" s="187"/>
      <c r="C6" s="184"/>
      <c r="D6" s="189"/>
      <c r="E6" s="190"/>
      <c r="F6" s="190"/>
      <c r="G6" s="190"/>
      <c r="H6" s="190"/>
      <c r="I6" s="190"/>
      <c r="J6" s="191"/>
    </row>
    <row r="7" spans="2:10" s="20" customFormat="1" ht="9.9499999999999993" customHeight="1">
      <c r="B7" s="187"/>
      <c r="C7" s="184"/>
      <c r="D7" s="189"/>
      <c r="E7" s="190"/>
      <c r="F7" s="190"/>
      <c r="G7" s="190"/>
      <c r="H7" s="190"/>
      <c r="I7" s="190"/>
      <c r="J7" s="191"/>
    </row>
    <row r="8" spans="2:10" s="20" customFormat="1" ht="9.9499999999999993" customHeight="1">
      <c r="B8" s="187"/>
      <c r="C8" s="184"/>
      <c r="D8" s="189"/>
      <c r="E8" s="190"/>
      <c r="F8" s="190"/>
      <c r="G8" s="190"/>
      <c r="H8" s="190"/>
      <c r="I8" s="190"/>
      <c r="J8" s="191"/>
    </row>
    <row r="9" spans="2:10" s="20" customFormat="1" ht="9.9499999999999993" customHeight="1">
      <c r="B9" s="188"/>
      <c r="C9" s="185"/>
      <c r="D9" s="189"/>
      <c r="E9" s="190"/>
      <c r="F9" s="190"/>
      <c r="G9" s="190"/>
      <c r="H9" s="190"/>
      <c r="I9" s="190"/>
      <c r="J9" s="191"/>
    </row>
    <row r="10" spans="2:10" s="20" customFormat="1" ht="8.1" customHeight="1">
      <c r="B10" s="125"/>
      <c r="C10" s="126"/>
      <c r="D10" s="126"/>
      <c r="E10" s="126"/>
      <c r="F10" s="126"/>
      <c r="G10" s="126"/>
      <c r="H10" s="126"/>
      <c r="I10" s="126"/>
      <c r="J10" s="127"/>
    </row>
    <row r="11" spans="2:10" s="45" customFormat="1" ht="42" customHeight="1">
      <c r="B11" s="120" t="s">
        <v>18</v>
      </c>
      <c r="C11" s="120" t="s">
        <v>115</v>
      </c>
      <c r="D11" s="120" t="s">
        <v>116</v>
      </c>
      <c r="E11" s="120" t="s">
        <v>151</v>
      </c>
      <c r="F11" s="132" t="s">
        <v>152</v>
      </c>
      <c r="G11" s="132" t="s">
        <v>153</v>
      </c>
      <c r="H11" s="172" t="s">
        <v>149</v>
      </c>
      <c r="I11" s="172" t="s">
        <v>122</v>
      </c>
      <c r="J11" s="172" t="s">
        <v>119</v>
      </c>
    </row>
    <row r="12" spans="2:10" ht="23.85" customHeight="1">
      <c r="B12" s="121"/>
      <c r="C12" s="121"/>
      <c r="D12" s="121"/>
      <c r="E12" s="121"/>
      <c r="F12" s="121"/>
      <c r="G12" s="121"/>
      <c r="H12" s="121"/>
      <c r="I12" s="121"/>
      <c r="J12" s="121"/>
    </row>
    <row r="13" spans="2:10" s="34" customFormat="1" hidden="1">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c r="B16" s="39" t="s">
        <v>154</v>
      </c>
    </row>
    <row r="17" spans="2:2">
      <c r="B17" s="39" t="s">
        <v>155</v>
      </c>
    </row>
    <row r="18" spans="2:2">
      <c r="B18" s="39" t="s">
        <v>156</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c r="B1" s="171"/>
      <c r="C1" s="171"/>
      <c r="D1" s="171"/>
      <c r="E1" s="171"/>
      <c r="F1" s="171"/>
      <c r="G1" s="171"/>
      <c r="H1" s="171"/>
      <c r="I1" s="171"/>
    </row>
    <row r="2" spans="2:9" s="20" customFormat="1" ht="30" customHeight="1">
      <c r="B2" s="131" t="s">
        <v>157</v>
      </c>
      <c r="C2" s="131"/>
      <c r="D2" s="131"/>
      <c r="E2" s="131"/>
      <c r="F2" s="131"/>
      <c r="G2" s="131"/>
      <c r="H2" s="131"/>
      <c r="I2" s="131"/>
    </row>
    <row r="3" spans="2:9" s="20" customFormat="1" ht="8.1" customHeight="1">
      <c r="B3" s="199"/>
      <c r="C3" s="199"/>
      <c r="D3" s="199"/>
      <c r="E3" s="199"/>
      <c r="F3" s="199"/>
      <c r="G3" s="199"/>
      <c r="H3" s="199"/>
      <c r="I3" s="199"/>
    </row>
    <row r="4" spans="2:9" s="45" customFormat="1" ht="42" customHeight="1">
      <c r="B4" s="44" t="s">
        <v>114</v>
      </c>
      <c r="C4" s="12" t="s">
        <v>22</v>
      </c>
      <c r="D4" s="12" t="s">
        <v>23</v>
      </c>
      <c r="E4" s="12" t="s">
        <v>158</v>
      </c>
      <c r="F4" s="12" t="s">
        <v>159</v>
      </c>
      <c r="G4" s="12" t="s">
        <v>160</v>
      </c>
      <c r="H4" s="12" t="s">
        <v>15</v>
      </c>
      <c r="I4" s="12" t="s">
        <v>122</v>
      </c>
    </row>
    <row r="5" spans="2:9">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0</v>
      </c>
    </row>
    <row r="6" spans="2:9" ht="16.5" customHeight="1">
      <c r="B6" s="76" t="str">
        <f>'Unit Costs &amp; Funding Rule'!P11</f>
        <v>Development</v>
      </c>
      <c r="C6" s="21">
        <f>SUMIF('1. Staff costs'!B:B,B6,'1. Staff costs'!S:S)</f>
        <v>0</v>
      </c>
      <c r="D6" s="21">
        <f>SUMIF(' 2-3-6. Travel&amp;Costs of Stay'!B:B,B6,' 2-3-6. Travel&amp;Costs of Stay'!O:O)</f>
        <v>0</v>
      </c>
      <c r="E6" s="22">
        <f>SUMIF(' 2-3-6. Travel&amp;Costs of Stay'!B:B,B6,' 2-3-6. Travel&amp;Costs of Stay'!P:P)</f>
        <v>0</v>
      </c>
      <c r="F6" s="22">
        <f>SUMIF('4. Equipment Costs'!B:B,B6,'4. Equipment Costs'!H:H)</f>
        <v>0</v>
      </c>
      <c r="G6" s="22">
        <f>SUMIF('5. Subcontracting Costs'!B:B,B6,'5. Subcontracting Costs'!H:H)</f>
        <v>0</v>
      </c>
      <c r="H6" s="22">
        <f>SUMIF(' 2-3-6. Travel&amp;Costs of Stay'!B:B,B6,' 2-3-6. Travel&amp;Costs of Stay'!N:N)</f>
        <v>0</v>
      </c>
      <c r="I6" s="23">
        <f t="shared" si="0"/>
        <v>0</v>
      </c>
    </row>
    <row r="7" spans="2:9" ht="16.5" customHeight="1">
      <c r="B7" s="76" t="str">
        <f>'Unit Costs &amp; Funding Rule'!P12</f>
        <v>Quality Plan</v>
      </c>
      <c r="C7" s="21">
        <f>SUMIF('1. Staff costs'!B:B,B7,'1. Staff costs'!S:S)</f>
        <v>96908</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96908</v>
      </c>
    </row>
    <row r="8" spans="2:9" ht="16.5" customHeight="1">
      <c r="B8" s="76" t="str">
        <f>'Unit Costs &amp; Funding Rule'!P13</f>
        <v>Dissemination &amp; Exploitation</v>
      </c>
      <c r="C8" s="21">
        <f>SUMIF('1. Staff costs'!B:B,B8,'1. Staff costs'!S:S)</f>
        <v>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0</v>
      </c>
    </row>
    <row r="9" spans="2:9" ht="16.5" customHeight="1">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24560</v>
      </c>
    </row>
    <row r="10" spans="2:9">
      <c r="B10" s="43" t="s">
        <v>161</v>
      </c>
      <c r="C10" s="23">
        <f t="shared" ref="C10:F10" si="1">SUM(C5:C9)</f>
        <v>121468</v>
      </c>
      <c r="D10" s="23">
        <f t="shared" si="1"/>
        <v>0</v>
      </c>
      <c r="E10" s="23">
        <f t="shared" si="1"/>
        <v>0</v>
      </c>
      <c r="F10" s="23">
        <f t="shared" si="1"/>
        <v>0</v>
      </c>
      <c r="G10" s="23">
        <f>SUM(G5:G9)</f>
        <v>0</v>
      </c>
      <c r="H10" s="23">
        <f>SUM(H5:H9)</f>
        <v>0</v>
      </c>
      <c r="I10" s="17">
        <f t="shared" si="0"/>
        <v>121468</v>
      </c>
    </row>
    <row r="11" spans="2:9" ht="20.100000000000001" customHeight="1">
      <c r="B11" s="198"/>
      <c r="C11" s="198"/>
      <c r="D11" s="198"/>
      <c r="E11" s="198"/>
      <c r="F11" s="198"/>
      <c r="G11" s="198"/>
      <c r="H11" s="198"/>
      <c r="I11" s="198"/>
    </row>
    <row r="12" spans="2:9" ht="30" customHeight="1">
      <c r="B12" s="131" t="s">
        <v>162</v>
      </c>
      <c r="C12" s="131"/>
      <c r="D12" s="131"/>
      <c r="E12" s="131"/>
      <c r="F12" s="131"/>
      <c r="G12" s="131"/>
      <c r="H12" s="131"/>
      <c r="I12" s="131"/>
    </row>
    <row r="13" spans="2:9" ht="8.1" customHeight="1">
      <c r="B13" s="196"/>
      <c r="C13" s="196"/>
      <c r="D13" s="196"/>
      <c r="E13" s="196"/>
      <c r="F13" s="196"/>
      <c r="G13" s="196"/>
      <c r="H13" s="196"/>
      <c r="I13" s="196"/>
    </row>
    <row r="14" spans="2:9" ht="36">
      <c r="B14" s="44" t="s">
        <v>163</v>
      </c>
      <c r="C14" s="12" t="s">
        <v>22</v>
      </c>
      <c r="D14" s="12" t="s">
        <v>23</v>
      </c>
      <c r="E14" s="12" t="s">
        <v>158</v>
      </c>
      <c r="F14" s="12" t="s">
        <v>159</v>
      </c>
      <c r="G14" s="12" t="s">
        <v>160</v>
      </c>
      <c r="H14" s="12" t="s">
        <v>15</v>
      </c>
      <c r="I14" s="12" t="s">
        <v>122</v>
      </c>
    </row>
    <row r="15" spans="2:9">
      <c r="B15" s="76" t="s">
        <v>164</v>
      </c>
      <c r="C15" s="21">
        <f>SUMIF(Overview!$E$27:$E$81,B15,Overview!$F$27:$F$81)</f>
        <v>109588</v>
      </c>
      <c r="D15" s="21">
        <f>SUMIF(Overview!$E$27:$E$81,B15,Overview!$G$27:$G$81)</f>
        <v>0</v>
      </c>
      <c r="E15" s="21">
        <f>SUMIF(Overview!$E$27:$E$81,B15,Overview!$H$27:$H$81)</f>
        <v>0</v>
      </c>
      <c r="F15" s="21">
        <f>SUMIF(Overview!$E$27:$E$81,B15,Overview!$I$27:$I$81)</f>
        <v>0</v>
      </c>
      <c r="G15" s="21">
        <f>SUMIF(Overview!$E$27:$E$81,B15,Overview!$J$27:$J$81)</f>
        <v>0</v>
      </c>
      <c r="H15" s="21">
        <f>SUMIF(Overview!$E$27:$E$81,B15,Overview!$K$27:$K$81)</f>
        <v>0</v>
      </c>
      <c r="I15" s="23">
        <f>SUM(C15:H15)</f>
        <v>109588</v>
      </c>
    </row>
    <row r="16" spans="2:9">
      <c r="B16" s="76" t="s">
        <v>165</v>
      </c>
      <c r="C16" s="21">
        <f>SUMIF(Overview!$E$27:$E$81,B16,Overview!$F$27:$F$81)</f>
        <v>11880</v>
      </c>
      <c r="D16" s="21">
        <f>SUMIF(Overview!$E$27:$E$81,B16,Overview!$G$27:$G$81)</f>
        <v>0</v>
      </c>
      <c r="E16" s="21">
        <f>SUMIF(Overview!$E$27:$E$81,B16,Overview!$H$27:$H$81)</f>
        <v>0</v>
      </c>
      <c r="F16" s="21">
        <f>SUMIF(Overview!$E$27:$E$81,B16,Overview!$I$27:$I$81)</f>
        <v>0</v>
      </c>
      <c r="G16" s="21">
        <f>SUMIF(Overview!$E$27:$E$81,B16,Overview!$J$27:$J$81)</f>
        <v>0</v>
      </c>
      <c r="H16" s="21">
        <f>SUMIF(Overview!$E$27:$E$81,B16,Overview!$K$27:$K$81)</f>
        <v>0</v>
      </c>
      <c r="I16" s="23">
        <f>SUM(C16:H16)</f>
        <v>11880</v>
      </c>
    </row>
    <row r="17" spans="2:9">
      <c r="B17" s="43" t="s">
        <v>161</v>
      </c>
      <c r="C17" s="23">
        <f t="shared" ref="C17:F17" si="2">SUM(C15:C16)</f>
        <v>121468</v>
      </c>
      <c r="D17" s="23">
        <f t="shared" si="2"/>
        <v>0</v>
      </c>
      <c r="E17" s="23">
        <f t="shared" si="2"/>
        <v>0</v>
      </c>
      <c r="F17" s="23">
        <f t="shared" si="2"/>
        <v>0</v>
      </c>
      <c r="G17" s="23">
        <f>SUM(G15:G16)</f>
        <v>0</v>
      </c>
      <c r="H17" s="23">
        <f>SUM(H15:H16)</f>
        <v>0</v>
      </c>
      <c r="I17" s="17">
        <f>SUM(C17:H17)</f>
        <v>121468</v>
      </c>
    </row>
    <row r="18" spans="2:9" ht="20.100000000000001" customHeight="1">
      <c r="B18" s="197"/>
      <c r="C18" s="197"/>
      <c r="D18" s="197"/>
      <c r="E18" s="197"/>
      <c r="F18" s="197"/>
      <c r="G18" s="197"/>
      <c r="H18" s="197"/>
      <c r="I18" s="197"/>
    </row>
    <row r="19" spans="2:9" ht="30" customHeight="1">
      <c r="B19" s="131" t="s">
        <v>166</v>
      </c>
      <c r="C19" s="131"/>
      <c r="D19" s="131"/>
      <c r="E19" s="131"/>
      <c r="F19" s="131"/>
      <c r="G19" s="131"/>
      <c r="H19" s="131"/>
      <c r="I19" s="131"/>
    </row>
    <row r="20" spans="2:9" ht="8.1" customHeight="1">
      <c r="B20" s="196"/>
      <c r="C20" s="196"/>
      <c r="D20" s="196"/>
      <c r="E20" s="196"/>
      <c r="F20" s="196"/>
      <c r="G20" s="196"/>
      <c r="H20" s="196"/>
      <c r="I20" s="196"/>
    </row>
    <row r="21" spans="2:9" ht="54" customHeight="1">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122</v>
      </c>
      <c r="I21" s="195"/>
    </row>
    <row r="22" spans="2:9">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192">
        <f t="shared" ref="H22:H34" si="3">SUM(C22:G22)</f>
        <v>9680</v>
      </c>
      <c r="I22" s="193"/>
    </row>
    <row r="23" spans="2:9">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2">
        <f t="shared" si="3"/>
        <v>9680</v>
      </c>
      <c r="I23" s="193"/>
    </row>
    <row r="24" spans="2:9">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192">
        <f t="shared" si="3"/>
        <v>9680</v>
      </c>
      <c r="I24" s="193"/>
    </row>
    <row r="25" spans="2:9">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0</v>
      </c>
      <c r="I25" s="193"/>
    </row>
    <row r="26" spans="2:9">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2">
        <f t="shared" si="3"/>
        <v>9680</v>
      </c>
      <c r="I26" s="193"/>
    </row>
    <row r="27" spans="2:9">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2">
        <f t="shared" si="3"/>
        <v>9680</v>
      </c>
      <c r="I27" s="193"/>
    </row>
    <row r="28" spans="2:9">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192">
        <f t="shared" si="3"/>
        <v>9680</v>
      </c>
      <c r="I28" s="193"/>
    </row>
    <row r="29" spans="2:9">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192">
        <f t="shared" si="3"/>
        <v>11880</v>
      </c>
      <c r="I29" s="193"/>
    </row>
    <row r="30" spans="2:9">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192">
        <f t="shared" si="3"/>
        <v>9680</v>
      </c>
      <c r="I30" s="193"/>
    </row>
    <row r="31" spans="2:9">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2">
        <f t="shared" si="3"/>
        <v>0</v>
      </c>
      <c r="I31" s="193"/>
    </row>
    <row r="32" spans="2:9">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192">
        <f t="shared" si="3"/>
        <v>9680</v>
      </c>
      <c r="I32" s="193"/>
    </row>
    <row r="33" spans="2:9">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2">
        <f t="shared" si="3"/>
        <v>9680</v>
      </c>
      <c r="I33" s="193"/>
    </row>
    <row r="34" spans="2:9">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15908</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192">
        <f t="shared" si="3"/>
        <v>22468</v>
      </c>
      <c r="I34" s="193"/>
    </row>
    <row r="35" spans="2:9">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2">
        <f t="shared" ref="H35:H76" si="4">SUM(C35:G35)</f>
        <v>0</v>
      </c>
      <c r="I35" s="193"/>
    </row>
    <row r="36" spans="2:9">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2">
        <f t="shared" si="4"/>
        <v>0</v>
      </c>
      <c r="I36" s="193"/>
    </row>
    <row r="37" spans="2:9">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2">
        <f t="shared" si="4"/>
        <v>0</v>
      </c>
      <c r="I37" s="193"/>
    </row>
    <row r="38" spans="2:9">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0</v>
      </c>
      <c r="I38" s="193"/>
    </row>
    <row r="39" spans="2:9">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0</v>
      </c>
      <c r="I41" s="193"/>
    </row>
    <row r="42" spans="2:9">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2">
        <f t="shared" si="4"/>
        <v>0</v>
      </c>
      <c r="I42" s="193"/>
    </row>
    <row r="43" spans="2:9">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c r="B77" s="48" t="s">
        <v>161</v>
      </c>
      <c r="C77" s="23">
        <f>SUM(C22:C76)</f>
        <v>0</v>
      </c>
      <c r="D77" s="23">
        <f t="shared" ref="D77:G77" si="5">SUM(D22:D76)</f>
        <v>0</v>
      </c>
      <c r="E77" s="23">
        <f t="shared" si="5"/>
        <v>96908</v>
      </c>
      <c r="F77" s="23">
        <f t="shared" si="5"/>
        <v>0</v>
      </c>
      <c r="G77" s="23">
        <f t="shared" si="5"/>
        <v>24560</v>
      </c>
      <c r="H77" s="192">
        <f>SUM(C77:G77)</f>
        <v>121468</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A150" zoomScale="70" zoomScaleNormal="70" zoomScaleSheetLayoutView="40" zoomScalePageLayoutView="70" workbookViewId="0">
      <selection activeCell="B1" sqref="B1"/>
    </sheetView>
  </sheetViews>
  <sheetFormatPr defaultRowHeight="13.9"/>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c r="B1" s="200" t="s">
        <v>168</v>
      </c>
      <c r="C1" s="201"/>
      <c r="D1" s="201"/>
      <c r="E1" s="201"/>
      <c r="F1" s="201"/>
      <c r="G1" s="201"/>
      <c r="H1" s="201"/>
      <c r="I1" s="201"/>
      <c r="J1" s="201"/>
      <c r="K1" s="201"/>
      <c r="L1" s="201"/>
      <c r="M1" s="201"/>
      <c r="N1" s="201"/>
      <c r="O1" s="201"/>
      <c r="P1" s="201"/>
      <c r="Q1" s="201"/>
      <c r="R1" s="201"/>
      <c r="S1" s="201"/>
      <c r="T1" s="201"/>
      <c r="U1" s="201"/>
    </row>
    <row r="2" spans="2:21" ht="33" customHeight="1">
      <c r="B2" s="54" t="s">
        <v>169</v>
      </c>
      <c r="C2" s="98" t="s">
        <v>170</v>
      </c>
      <c r="D2" s="97"/>
      <c r="E2" s="97"/>
      <c r="F2" s="97"/>
      <c r="G2" s="97"/>
      <c r="H2" s="97"/>
      <c r="I2" s="97"/>
      <c r="J2" s="97"/>
      <c r="K2" s="55"/>
      <c r="L2" s="55"/>
      <c r="M2" s="55"/>
      <c r="N2" s="55"/>
      <c r="O2" s="55"/>
      <c r="P2" s="55"/>
      <c r="Q2" s="55"/>
      <c r="R2" s="55"/>
      <c r="S2" s="55"/>
      <c r="T2" s="55"/>
      <c r="U2" s="55"/>
    </row>
    <row r="3" spans="2:21" ht="33" customHeight="1">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c r="B4" s="202" t="s">
        <v>173</v>
      </c>
      <c r="C4" s="202"/>
      <c r="D4" s="202"/>
      <c r="E4" s="202"/>
      <c r="F4" s="202"/>
      <c r="G4" s="202"/>
      <c r="I4" s="202" t="s">
        <v>174</v>
      </c>
      <c r="J4" s="202"/>
      <c r="L4" s="202" t="s">
        <v>175</v>
      </c>
      <c r="M4" s="202"/>
      <c r="N4" s="202"/>
      <c r="P4" s="202" t="s">
        <v>176</v>
      </c>
      <c r="Q4" s="202"/>
      <c r="S4" s="202" t="s">
        <v>177</v>
      </c>
      <c r="T4" s="202"/>
      <c r="U4" s="202"/>
    </row>
    <row r="5" spans="2:21" s="58" customFormat="1" ht="157.5" customHeight="1">
      <c r="B5" s="206" t="s">
        <v>178</v>
      </c>
      <c r="C5" s="207"/>
      <c r="D5" s="207"/>
      <c r="E5" s="207"/>
      <c r="F5" s="207"/>
      <c r="G5" s="208"/>
      <c r="I5" s="206" t="s">
        <v>179</v>
      </c>
      <c r="J5" s="208"/>
      <c r="L5" s="206" t="s">
        <v>180</v>
      </c>
      <c r="M5" s="207"/>
      <c r="N5" s="208"/>
      <c r="P5" s="206" t="s">
        <v>181</v>
      </c>
      <c r="Q5" s="208"/>
      <c r="S5" s="206" t="s">
        <v>182</v>
      </c>
      <c r="T5" s="207"/>
      <c r="U5" s="208"/>
    </row>
    <row r="6" spans="2:21" s="59" customFormat="1" ht="80.25" customHeight="1">
      <c r="B6" s="209"/>
      <c r="C6" s="210"/>
      <c r="D6" s="210"/>
      <c r="E6" s="210"/>
      <c r="F6" s="210"/>
      <c r="G6" s="211"/>
      <c r="I6" s="209"/>
      <c r="J6" s="211"/>
      <c r="L6" s="209"/>
      <c r="M6" s="210"/>
      <c r="N6" s="211"/>
      <c r="P6" s="209"/>
      <c r="Q6" s="211"/>
      <c r="S6" s="209"/>
      <c r="T6" s="210"/>
      <c r="U6" s="211"/>
    </row>
    <row r="7" spans="2:21" ht="82.5" customHeight="1">
      <c r="B7" s="60" t="s">
        <v>20</v>
      </c>
      <c r="C7" s="60" t="s">
        <v>21</v>
      </c>
      <c r="D7" s="60" t="s">
        <v>110</v>
      </c>
      <c r="E7" s="61" t="s">
        <v>111</v>
      </c>
      <c r="F7" s="61" t="s">
        <v>112</v>
      </c>
      <c r="G7" s="61" t="s">
        <v>113</v>
      </c>
      <c r="I7" s="61" t="s">
        <v>183</v>
      </c>
      <c r="J7" s="61" t="s">
        <v>184</v>
      </c>
      <c r="L7" s="61" t="s">
        <v>185</v>
      </c>
      <c r="M7" s="61" t="s">
        <v>186</v>
      </c>
      <c r="N7" s="61" t="s">
        <v>187</v>
      </c>
      <c r="P7" s="203" t="s">
        <v>188</v>
      </c>
      <c r="Q7" s="204"/>
      <c r="S7" s="203" t="s">
        <v>189</v>
      </c>
      <c r="T7" s="205"/>
      <c r="U7" s="204"/>
    </row>
    <row r="8" spans="2:21" ht="15" customHeight="1">
      <c r="B8" s="62" t="s">
        <v>190</v>
      </c>
      <c r="C8" s="62" t="s">
        <v>164</v>
      </c>
      <c r="D8" s="63">
        <v>294</v>
      </c>
      <c r="E8" s="63">
        <v>241</v>
      </c>
      <c r="F8" s="63">
        <v>190</v>
      </c>
      <c r="G8" s="63">
        <v>157</v>
      </c>
      <c r="I8" s="64" t="s">
        <v>191</v>
      </c>
      <c r="J8" s="64">
        <v>0</v>
      </c>
      <c r="L8" s="65">
        <v>1</v>
      </c>
      <c r="M8" s="63">
        <f>L8*55</f>
        <v>55</v>
      </c>
      <c r="N8" s="63">
        <f>L8*120</f>
        <v>120</v>
      </c>
      <c r="Q8" s="66"/>
      <c r="U8" s="66"/>
    </row>
    <row r="9" spans="2:21" ht="15" customHeight="1">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c r="B16" s="62" t="s">
        <v>205</v>
      </c>
      <c r="C16" s="62" t="s">
        <v>164</v>
      </c>
      <c r="D16" s="63">
        <v>280</v>
      </c>
      <c r="E16" s="63">
        <v>214</v>
      </c>
      <c r="F16" s="63">
        <v>162</v>
      </c>
      <c r="G16" s="63">
        <v>131</v>
      </c>
      <c r="J16" s="66"/>
      <c r="L16" s="65">
        <v>9</v>
      </c>
      <c r="M16" s="63">
        <f t="shared" si="0"/>
        <v>495</v>
      </c>
      <c r="N16" s="63">
        <f t="shared" si="1"/>
        <v>1080</v>
      </c>
      <c r="P16" s="67" t="s">
        <v>206</v>
      </c>
    </row>
    <row r="17" spans="2:16">
      <c r="B17" s="62" t="s">
        <v>207</v>
      </c>
      <c r="C17" s="62" t="s">
        <v>164</v>
      </c>
      <c r="D17" s="63">
        <v>88</v>
      </c>
      <c r="E17" s="63">
        <v>74</v>
      </c>
      <c r="F17" s="63">
        <v>55</v>
      </c>
      <c r="G17" s="63">
        <v>39</v>
      </c>
      <c r="J17" s="66"/>
      <c r="L17" s="65">
        <v>10</v>
      </c>
      <c r="M17" s="63">
        <f t="shared" si="0"/>
        <v>550</v>
      </c>
      <c r="N17" s="63">
        <f t="shared" si="1"/>
        <v>1200</v>
      </c>
      <c r="P17" s="69" t="s">
        <v>187</v>
      </c>
    </row>
    <row r="18" spans="2:16" ht="15" customHeight="1">
      <c r="B18" s="62" t="s">
        <v>208</v>
      </c>
      <c r="C18" s="62" t="s">
        <v>164</v>
      </c>
      <c r="D18" s="63">
        <v>280</v>
      </c>
      <c r="E18" s="63">
        <v>214</v>
      </c>
      <c r="F18" s="63">
        <v>162</v>
      </c>
      <c r="G18" s="63">
        <v>131</v>
      </c>
      <c r="L18" s="65">
        <v>11</v>
      </c>
      <c r="M18" s="63">
        <f t="shared" si="0"/>
        <v>605</v>
      </c>
      <c r="N18" s="63">
        <f t="shared" si="1"/>
        <v>1320</v>
      </c>
      <c r="P18" s="69" t="s">
        <v>186</v>
      </c>
    </row>
    <row r="19" spans="2:16">
      <c r="B19" s="62" t="s">
        <v>53</v>
      </c>
      <c r="C19" s="62" t="s">
        <v>164</v>
      </c>
      <c r="D19" s="63">
        <v>280</v>
      </c>
      <c r="E19" s="63">
        <v>214</v>
      </c>
      <c r="F19" s="63">
        <v>162</v>
      </c>
      <c r="G19" s="63">
        <v>131</v>
      </c>
      <c r="L19" s="65">
        <v>12</v>
      </c>
      <c r="M19" s="63">
        <f t="shared" si="0"/>
        <v>660</v>
      </c>
      <c r="N19" s="63">
        <f t="shared" si="1"/>
        <v>1440</v>
      </c>
    </row>
    <row r="20" spans="2:16" ht="18">
      <c r="B20" s="62" t="s">
        <v>61</v>
      </c>
      <c r="C20" s="62" t="s">
        <v>164</v>
      </c>
      <c r="D20" s="63">
        <v>164</v>
      </c>
      <c r="E20" s="63">
        <v>137</v>
      </c>
      <c r="F20" s="63">
        <v>102</v>
      </c>
      <c r="G20" s="63">
        <v>78</v>
      </c>
      <c r="L20" s="65">
        <v>13</v>
      </c>
      <c r="M20" s="63">
        <f t="shared" si="0"/>
        <v>715</v>
      </c>
      <c r="N20" s="63">
        <f t="shared" si="1"/>
        <v>1560</v>
      </c>
      <c r="P20" s="67" t="s">
        <v>209</v>
      </c>
    </row>
    <row r="21" spans="2:16">
      <c r="B21" s="62" t="s">
        <v>210</v>
      </c>
      <c r="C21" s="62" t="s">
        <v>164</v>
      </c>
      <c r="D21" s="63">
        <v>88</v>
      </c>
      <c r="E21" s="63">
        <v>74</v>
      </c>
      <c r="F21" s="63">
        <v>55</v>
      </c>
      <c r="G21" s="63">
        <v>39</v>
      </c>
      <c r="L21" s="65">
        <v>14</v>
      </c>
      <c r="M21" s="63">
        <f t="shared" si="0"/>
        <v>770</v>
      </c>
      <c r="N21" s="63">
        <f t="shared" si="1"/>
        <v>1680</v>
      </c>
      <c r="P21" s="69" t="s">
        <v>211</v>
      </c>
    </row>
    <row r="22" spans="2:16">
      <c r="B22" s="62" t="s">
        <v>212</v>
      </c>
      <c r="C22" s="62" t="s">
        <v>164</v>
      </c>
      <c r="D22" s="63">
        <v>280</v>
      </c>
      <c r="E22" s="63">
        <v>214</v>
      </c>
      <c r="F22" s="63">
        <v>162</v>
      </c>
      <c r="G22" s="63">
        <v>131</v>
      </c>
      <c r="L22" s="65">
        <v>15</v>
      </c>
      <c r="M22" s="70">
        <f>((L22-$L$21)*40)+770</f>
        <v>810</v>
      </c>
      <c r="N22" s="71">
        <f>((L22-$L$21)*70)+1680</f>
        <v>1750</v>
      </c>
      <c r="P22" s="89"/>
    </row>
    <row r="23" spans="2:16">
      <c r="B23" s="62" t="s">
        <v>213</v>
      </c>
      <c r="C23" s="62" t="s">
        <v>164</v>
      </c>
      <c r="D23" s="63">
        <v>294</v>
      </c>
      <c r="E23" s="63">
        <v>241</v>
      </c>
      <c r="F23" s="63">
        <v>190</v>
      </c>
      <c r="G23" s="63">
        <v>157</v>
      </c>
      <c r="L23" s="65">
        <v>16</v>
      </c>
      <c r="M23" s="70">
        <f t="shared" ref="M23:M86" si="2">((L23-$L$21)*40)+770</f>
        <v>850</v>
      </c>
      <c r="N23" s="71">
        <f t="shared" ref="N23:N67" si="3">((L23-$L$21)*70)+1680</f>
        <v>1820</v>
      </c>
    </row>
    <row r="24" spans="2:16">
      <c r="B24" s="62" t="s">
        <v>214</v>
      </c>
      <c r="C24" s="62" t="s">
        <v>164</v>
      </c>
      <c r="D24" s="63">
        <v>280</v>
      </c>
      <c r="E24" s="63">
        <v>214</v>
      </c>
      <c r="F24" s="63">
        <v>162</v>
      </c>
      <c r="G24" s="63">
        <v>131</v>
      </c>
      <c r="L24" s="65">
        <v>17</v>
      </c>
      <c r="M24" s="70">
        <f t="shared" si="2"/>
        <v>890</v>
      </c>
      <c r="N24" s="71">
        <f t="shared" si="3"/>
        <v>1890</v>
      </c>
    </row>
    <row r="25" spans="2:16">
      <c r="B25" s="62" t="s">
        <v>215</v>
      </c>
      <c r="C25" s="62" t="s">
        <v>164</v>
      </c>
      <c r="D25" s="63">
        <v>88</v>
      </c>
      <c r="E25" s="63">
        <v>74</v>
      </c>
      <c r="F25" s="63">
        <v>55</v>
      </c>
      <c r="G25" s="63">
        <v>39</v>
      </c>
      <c r="L25" s="65">
        <v>18</v>
      </c>
      <c r="M25" s="70">
        <f t="shared" si="2"/>
        <v>930</v>
      </c>
      <c r="N25" s="71">
        <f t="shared" si="3"/>
        <v>1960</v>
      </c>
    </row>
    <row r="26" spans="2:16">
      <c r="B26" s="62" t="s">
        <v>216</v>
      </c>
      <c r="C26" s="62" t="s">
        <v>164</v>
      </c>
      <c r="D26" s="63">
        <v>294</v>
      </c>
      <c r="E26" s="63">
        <v>241</v>
      </c>
      <c r="F26" s="63">
        <v>190</v>
      </c>
      <c r="G26" s="63">
        <v>157</v>
      </c>
      <c r="L26" s="65">
        <v>19</v>
      </c>
      <c r="M26" s="70">
        <f t="shared" si="2"/>
        <v>970</v>
      </c>
      <c r="N26" s="71">
        <f t="shared" si="3"/>
        <v>2030</v>
      </c>
    </row>
    <row r="27" spans="2:16">
      <c r="B27" s="62" t="s">
        <v>217</v>
      </c>
      <c r="C27" s="62" t="s">
        <v>164</v>
      </c>
      <c r="D27" s="63">
        <v>88</v>
      </c>
      <c r="E27" s="63">
        <v>74</v>
      </c>
      <c r="F27" s="63">
        <v>55</v>
      </c>
      <c r="G27" s="63">
        <v>39</v>
      </c>
      <c r="L27" s="65">
        <v>20</v>
      </c>
      <c r="M27" s="70">
        <f t="shared" si="2"/>
        <v>1010</v>
      </c>
      <c r="N27" s="71">
        <f t="shared" si="3"/>
        <v>2100</v>
      </c>
    </row>
    <row r="28" spans="2:16">
      <c r="B28" s="62" t="s">
        <v>218</v>
      </c>
      <c r="C28" s="62" t="s">
        <v>164</v>
      </c>
      <c r="D28" s="63">
        <v>294</v>
      </c>
      <c r="E28" s="63">
        <v>241</v>
      </c>
      <c r="F28" s="63">
        <v>190</v>
      </c>
      <c r="G28" s="63">
        <v>157</v>
      </c>
      <c r="L28" s="65">
        <v>21</v>
      </c>
      <c r="M28" s="70">
        <f t="shared" si="2"/>
        <v>1050</v>
      </c>
      <c r="N28" s="71">
        <f t="shared" si="3"/>
        <v>2170</v>
      </c>
    </row>
    <row r="29" spans="2:16">
      <c r="B29" s="62" t="s">
        <v>219</v>
      </c>
      <c r="C29" s="62" t="s">
        <v>164</v>
      </c>
      <c r="D29" s="63">
        <v>164</v>
      </c>
      <c r="E29" s="63">
        <v>137</v>
      </c>
      <c r="F29" s="63">
        <v>102</v>
      </c>
      <c r="G29" s="63">
        <v>78</v>
      </c>
      <c r="L29" s="65">
        <v>22</v>
      </c>
      <c r="M29" s="70">
        <f t="shared" si="2"/>
        <v>1090</v>
      </c>
      <c r="N29" s="71">
        <f t="shared" si="3"/>
        <v>2240</v>
      </c>
    </row>
    <row r="30" spans="2:16">
      <c r="B30" s="62" t="s">
        <v>220</v>
      </c>
      <c r="C30" s="62" t="s">
        <v>164</v>
      </c>
      <c r="D30" s="63">
        <v>294</v>
      </c>
      <c r="E30" s="63">
        <v>241</v>
      </c>
      <c r="F30" s="63">
        <v>190</v>
      </c>
      <c r="G30" s="63">
        <v>157</v>
      </c>
      <c r="L30" s="65">
        <v>23</v>
      </c>
      <c r="M30" s="70">
        <f t="shared" si="2"/>
        <v>1130</v>
      </c>
      <c r="N30" s="71">
        <f t="shared" si="3"/>
        <v>2310</v>
      </c>
    </row>
    <row r="31" spans="2:16">
      <c r="B31" s="62" t="s">
        <v>221</v>
      </c>
      <c r="C31" s="62" t="s">
        <v>164</v>
      </c>
      <c r="D31" s="63">
        <v>294</v>
      </c>
      <c r="E31" s="63">
        <v>241</v>
      </c>
      <c r="F31" s="63">
        <v>190</v>
      </c>
      <c r="G31" s="63">
        <v>157</v>
      </c>
      <c r="L31" s="65">
        <v>24</v>
      </c>
      <c r="M31" s="70">
        <f t="shared" si="2"/>
        <v>1170</v>
      </c>
      <c r="N31" s="71">
        <f t="shared" si="3"/>
        <v>2380</v>
      </c>
    </row>
    <row r="32" spans="2:16">
      <c r="B32" s="62" t="s">
        <v>222</v>
      </c>
      <c r="C32" s="62" t="s">
        <v>164</v>
      </c>
      <c r="D32" s="63">
        <v>88</v>
      </c>
      <c r="E32" s="63">
        <v>74</v>
      </c>
      <c r="F32" s="63">
        <v>55</v>
      </c>
      <c r="G32" s="63">
        <v>39</v>
      </c>
      <c r="L32" s="65">
        <v>25</v>
      </c>
      <c r="M32" s="70">
        <f t="shared" si="2"/>
        <v>1210</v>
      </c>
      <c r="N32" s="71">
        <f t="shared" si="3"/>
        <v>2450</v>
      </c>
    </row>
    <row r="33" spans="2:14">
      <c r="B33" s="62" t="s">
        <v>223</v>
      </c>
      <c r="C33" s="62" t="s">
        <v>164</v>
      </c>
      <c r="D33" s="63">
        <v>164</v>
      </c>
      <c r="E33" s="63">
        <v>137</v>
      </c>
      <c r="F33" s="63">
        <v>102</v>
      </c>
      <c r="G33" s="63">
        <v>78</v>
      </c>
      <c r="L33" s="65">
        <v>26</v>
      </c>
      <c r="M33" s="70">
        <f t="shared" si="2"/>
        <v>1250</v>
      </c>
      <c r="N33" s="71">
        <f t="shared" si="3"/>
        <v>2520</v>
      </c>
    </row>
    <row r="34" spans="2:14">
      <c r="B34" s="62" t="s">
        <v>224</v>
      </c>
      <c r="C34" s="62" t="s">
        <v>164</v>
      </c>
      <c r="D34" s="63">
        <v>88</v>
      </c>
      <c r="E34" s="63">
        <v>74</v>
      </c>
      <c r="F34" s="63">
        <v>55</v>
      </c>
      <c r="G34" s="63">
        <v>39</v>
      </c>
      <c r="L34" s="65">
        <v>27</v>
      </c>
      <c r="M34" s="70">
        <f t="shared" si="2"/>
        <v>1290</v>
      </c>
      <c r="N34" s="71">
        <f t="shared" si="3"/>
        <v>2590</v>
      </c>
    </row>
    <row r="35" spans="2:14">
      <c r="B35" s="62" t="s">
        <v>30</v>
      </c>
      <c r="C35" s="62" t="s">
        <v>164</v>
      </c>
      <c r="D35" s="63">
        <v>88</v>
      </c>
      <c r="E35" s="63">
        <v>74</v>
      </c>
      <c r="F35" s="63">
        <v>55</v>
      </c>
      <c r="G35" s="63">
        <v>39</v>
      </c>
      <c r="L35" s="65">
        <v>28</v>
      </c>
      <c r="M35" s="70">
        <f t="shared" si="2"/>
        <v>1330</v>
      </c>
      <c r="N35" s="71">
        <f t="shared" si="3"/>
        <v>2660</v>
      </c>
    </row>
    <row r="36" spans="2:14">
      <c r="B36" s="62" t="s">
        <v>225</v>
      </c>
      <c r="C36" s="62" t="s">
        <v>164</v>
      </c>
      <c r="D36" s="63">
        <v>88</v>
      </c>
      <c r="E36" s="63">
        <v>74</v>
      </c>
      <c r="F36" s="63">
        <v>55</v>
      </c>
      <c r="G36" s="63">
        <v>39</v>
      </c>
      <c r="L36" s="65">
        <v>29</v>
      </c>
      <c r="M36" s="70">
        <f t="shared" si="2"/>
        <v>1370</v>
      </c>
      <c r="N36" s="71">
        <f t="shared" si="3"/>
        <v>2730</v>
      </c>
    </row>
    <row r="37" spans="2:14">
      <c r="B37" s="62" t="s">
        <v>226</v>
      </c>
      <c r="C37" s="62" t="s">
        <v>164</v>
      </c>
      <c r="D37" s="63">
        <v>164</v>
      </c>
      <c r="E37" s="63">
        <v>137</v>
      </c>
      <c r="F37" s="63">
        <v>102</v>
      </c>
      <c r="G37" s="63">
        <v>78</v>
      </c>
      <c r="L37" s="65">
        <v>30</v>
      </c>
      <c r="M37" s="70">
        <f t="shared" si="2"/>
        <v>1410</v>
      </c>
      <c r="N37" s="71">
        <f t="shared" si="3"/>
        <v>2800</v>
      </c>
    </row>
    <row r="38" spans="2:14">
      <c r="B38" s="62" t="s">
        <v>227</v>
      </c>
      <c r="C38" s="62" t="s">
        <v>164</v>
      </c>
      <c r="D38" s="63">
        <v>164</v>
      </c>
      <c r="E38" s="63">
        <v>137</v>
      </c>
      <c r="F38" s="63">
        <v>102</v>
      </c>
      <c r="G38" s="63">
        <v>78</v>
      </c>
      <c r="L38" s="65">
        <v>31</v>
      </c>
      <c r="M38" s="70">
        <f t="shared" si="2"/>
        <v>1450</v>
      </c>
      <c r="N38" s="71">
        <f t="shared" si="3"/>
        <v>2870</v>
      </c>
    </row>
    <row r="39" spans="2:14">
      <c r="B39" s="62" t="s">
        <v>228</v>
      </c>
      <c r="C39" s="62" t="s">
        <v>164</v>
      </c>
      <c r="D39" s="63">
        <v>294</v>
      </c>
      <c r="E39" s="63">
        <v>241</v>
      </c>
      <c r="F39" s="63">
        <v>190</v>
      </c>
      <c r="G39" s="63">
        <v>157</v>
      </c>
      <c r="L39" s="65">
        <v>32</v>
      </c>
      <c r="M39" s="70">
        <f t="shared" si="2"/>
        <v>1490</v>
      </c>
      <c r="N39" s="71">
        <f t="shared" si="3"/>
        <v>2940</v>
      </c>
    </row>
    <row r="40" spans="2:14">
      <c r="B40" s="62" t="s">
        <v>35</v>
      </c>
      <c r="C40" s="62" t="s">
        <v>164</v>
      </c>
      <c r="D40" s="63">
        <v>88</v>
      </c>
      <c r="E40" s="63">
        <v>74</v>
      </c>
      <c r="F40" s="63">
        <v>55</v>
      </c>
      <c r="G40" s="63">
        <v>39</v>
      </c>
      <c r="L40" s="65">
        <v>33</v>
      </c>
      <c r="M40" s="70">
        <f t="shared" si="2"/>
        <v>1530</v>
      </c>
      <c r="N40" s="71">
        <f t="shared" si="3"/>
        <v>3010</v>
      </c>
    </row>
    <row r="41" spans="2:14">
      <c r="B41" s="62" t="s">
        <v>229</v>
      </c>
      <c r="C41" s="62" t="s">
        <v>164</v>
      </c>
      <c r="D41" s="63">
        <v>280</v>
      </c>
      <c r="E41" s="63">
        <v>214</v>
      </c>
      <c r="F41" s="63">
        <v>162</v>
      </c>
      <c r="G41" s="63">
        <v>131</v>
      </c>
      <c r="L41" s="65">
        <v>34</v>
      </c>
      <c r="M41" s="70">
        <f t="shared" si="2"/>
        <v>1570</v>
      </c>
      <c r="N41" s="71">
        <f t="shared" si="3"/>
        <v>3080</v>
      </c>
    </row>
    <row r="42" spans="2:14">
      <c r="B42" s="64" t="s">
        <v>230</v>
      </c>
      <c r="C42" s="64" t="s">
        <v>165</v>
      </c>
      <c r="D42" s="72">
        <v>77</v>
      </c>
      <c r="E42" s="72">
        <v>57</v>
      </c>
      <c r="F42" s="72">
        <v>40</v>
      </c>
      <c r="G42" s="72">
        <v>32</v>
      </c>
      <c r="L42" s="65">
        <v>35</v>
      </c>
      <c r="M42" s="70">
        <f t="shared" si="2"/>
        <v>1610</v>
      </c>
      <c r="N42" s="71">
        <f t="shared" si="3"/>
        <v>3150</v>
      </c>
    </row>
    <row r="43" spans="2:14">
      <c r="B43" s="64" t="s">
        <v>48</v>
      </c>
      <c r="C43" s="64" t="s">
        <v>165</v>
      </c>
      <c r="D43" s="72">
        <v>108</v>
      </c>
      <c r="E43" s="72">
        <v>80</v>
      </c>
      <c r="F43" s="72">
        <v>57</v>
      </c>
      <c r="G43" s="72">
        <v>45</v>
      </c>
      <c r="L43" s="65">
        <v>36</v>
      </c>
      <c r="M43" s="70">
        <f t="shared" si="2"/>
        <v>1650</v>
      </c>
      <c r="N43" s="71">
        <f t="shared" si="3"/>
        <v>3220</v>
      </c>
    </row>
    <row r="44" spans="2:14">
      <c r="B44" s="64" t="s">
        <v>231</v>
      </c>
      <c r="C44" s="64" t="s">
        <v>165</v>
      </c>
      <c r="D44" s="72">
        <v>47</v>
      </c>
      <c r="E44" s="72">
        <v>33</v>
      </c>
      <c r="F44" s="72">
        <v>22</v>
      </c>
      <c r="G44" s="72">
        <v>17</v>
      </c>
      <c r="L44" s="65">
        <v>37</v>
      </c>
      <c r="M44" s="70">
        <f t="shared" si="2"/>
        <v>1690</v>
      </c>
      <c r="N44" s="71">
        <f t="shared" si="3"/>
        <v>3290</v>
      </c>
    </row>
    <row r="45" spans="2:14">
      <c r="B45" s="64" t="s">
        <v>232</v>
      </c>
      <c r="C45" s="64" t="s">
        <v>165</v>
      </c>
      <c r="D45" s="72">
        <v>108</v>
      </c>
      <c r="E45" s="72">
        <v>80</v>
      </c>
      <c r="F45" s="72">
        <v>57</v>
      </c>
      <c r="G45" s="72">
        <v>45</v>
      </c>
      <c r="L45" s="65">
        <v>38</v>
      </c>
      <c r="M45" s="70">
        <f t="shared" si="2"/>
        <v>1730</v>
      </c>
      <c r="N45" s="71">
        <f t="shared" si="3"/>
        <v>3360</v>
      </c>
    </row>
    <row r="46" spans="2:14">
      <c r="B46" s="64" t="s">
        <v>233</v>
      </c>
      <c r="C46" s="64" t="s">
        <v>165</v>
      </c>
      <c r="D46" s="72">
        <v>108</v>
      </c>
      <c r="E46" s="72">
        <v>80</v>
      </c>
      <c r="F46" s="72">
        <v>57</v>
      </c>
      <c r="G46" s="72">
        <v>45</v>
      </c>
      <c r="L46" s="65">
        <v>39</v>
      </c>
      <c r="M46" s="70">
        <f t="shared" si="2"/>
        <v>1770</v>
      </c>
      <c r="N46" s="71">
        <f t="shared" si="3"/>
        <v>3430</v>
      </c>
    </row>
    <row r="47" spans="2:14">
      <c r="B47" s="64" t="s">
        <v>234</v>
      </c>
      <c r="C47" s="64" t="s">
        <v>165</v>
      </c>
      <c r="D47" s="72">
        <v>108</v>
      </c>
      <c r="E47" s="72">
        <v>80</v>
      </c>
      <c r="F47" s="72">
        <v>57</v>
      </c>
      <c r="G47" s="72">
        <v>45</v>
      </c>
      <c r="L47" s="65">
        <v>40</v>
      </c>
      <c r="M47" s="70">
        <f t="shared" si="2"/>
        <v>1810</v>
      </c>
      <c r="N47" s="71">
        <f t="shared" si="3"/>
        <v>3500</v>
      </c>
    </row>
    <row r="48" spans="2:14">
      <c r="B48" s="64" t="s">
        <v>235</v>
      </c>
      <c r="C48" s="64" t="s">
        <v>165</v>
      </c>
      <c r="D48" s="72">
        <v>47</v>
      </c>
      <c r="E48" s="72">
        <v>33</v>
      </c>
      <c r="F48" s="72">
        <v>22</v>
      </c>
      <c r="G48" s="72">
        <v>17</v>
      </c>
      <c r="L48" s="65">
        <v>41</v>
      </c>
      <c r="M48" s="70">
        <f t="shared" si="2"/>
        <v>1850</v>
      </c>
      <c r="N48" s="71">
        <f t="shared" si="3"/>
        <v>3570</v>
      </c>
    </row>
    <row r="49" spans="2:14">
      <c r="B49" s="64" t="s">
        <v>236</v>
      </c>
      <c r="C49" s="64" t="s">
        <v>165</v>
      </c>
      <c r="D49" s="72">
        <v>77</v>
      </c>
      <c r="E49" s="72">
        <v>57</v>
      </c>
      <c r="F49" s="72">
        <v>40</v>
      </c>
      <c r="G49" s="72">
        <v>32</v>
      </c>
      <c r="L49" s="65">
        <v>42</v>
      </c>
      <c r="M49" s="70">
        <f t="shared" si="2"/>
        <v>1890</v>
      </c>
      <c r="N49" s="71">
        <f t="shared" si="3"/>
        <v>3640</v>
      </c>
    </row>
    <row r="50" spans="2:14">
      <c r="B50" s="64" t="s">
        <v>237</v>
      </c>
      <c r="C50" s="64" t="s">
        <v>165</v>
      </c>
      <c r="D50" s="72">
        <v>77</v>
      </c>
      <c r="E50" s="72">
        <v>57</v>
      </c>
      <c r="F50" s="72">
        <v>40</v>
      </c>
      <c r="G50" s="72">
        <v>32</v>
      </c>
      <c r="L50" s="65">
        <v>43</v>
      </c>
      <c r="M50" s="70">
        <f t="shared" si="2"/>
        <v>1930</v>
      </c>
      <c r="N50" s="71">
        <f t="shared" si="3"/>
        <v>3710</v>
      </c>
    </row>
    <row r="51" spans="2:14">
      <c r="B51" s="64" t="s">
        <v>238</v>
      </c>
      <c r="C51" s="64" t="s">
        <v>165</v>
      </c>
      <c r="D51" s="72">
        <v>47</v>
      </c>
      <c r="E51" s="72">
        <v>33</v>
      </c>
      <c r="F51" s="72">
        <v>22</v>
      </c>
      <c r="G51" s="72">
        <v>17</v>
      </c>
      <c r="L51" s="65">
        <v>44</v>
      </c>
      <c r="M51" s="70">
        <f t="shared" si="2"/>
        <v>1970</v>
      </c>
      <c r="N51" s="71">
        <f t="shared" si="3"/>
        <v>3780</v>
      </c>
    </row>
    <row r="52" spans="2:14">
      <c r="B52" s="64" t="s">
        <v>239</v>
      </c>
      <c r="C52" s="64" t="s">
        <v>165</v>
      </c>
      <c r="D52" s="72">
        <v>108</v>
      </c>
      <c r="E52" s="72">
        <v>80</v>
      </c>
      <c r="F52" s="72">
        <v>57</v>
      </c>
      <c r="G52" s="72">
        <v>45</v>
      </c>
      <c r="L52" s="65">
        <v>45</v>
      </c>
      <c r="M52" s="70">
        <f t="shared" si="2"/>
        <v>2010</v>
      </c>
      <c r="N52" s="71">
        <f t="shared" si="3"/>
        <v>3850</v>
      </c>
    </row>
    <row r="53" spans="2:14">
      <c r="B53" s="64" t="s">
        <v>240</v>
      </c>
      <c r="C53" s="64" t="s">
        <v>165</v>
      </c>
      <c r="D53" s="72">
        <v>47</v>
      </c>
      <c r="E53" s="72">
        <v>33</v>
      </c>
      <c r="F53" s="72">
        <v>22</v>
      </c>
      <c r="G53" s="72">
        <v>17</v>
      </c>
      <c r="L53" s="65">
        <v>46</v>
      </c>
      <c r="M53" s="70">
        <f t="shared" si="2"/>
        <v>2050</v>
      </c>
      <c r="N53" s="71">
        <f t="shared" si="3"/>
        <v>3920</v>
      </c>
    </row>
    <row r="54" spans="2:14">
      <c r="B54" s="64" t="s">
        <v>241</v>
      </c>
      <c r="C54" s="64" t="s">
        <v>165</v>
      </c>
      <c r="D54" s="72">
        <v>47</v>
      </c>
      <c r="E54" s="72">
        <v>33</v>
      </c>
      <c r="F54" s="72">
        <v>22</v>
      </c>
      <c r="G54" s="72">
        <v>17</v>
      </c>
      <c r="L54" s="65">
        <v>47</v>
      </c>
      <c r="M54" s="70">
        <f t="shared" si="2"/>
        <v>2090</v>
      </c>
      <c r="N54" s="71">
        <f t="shared" si="3"/>
        <v>3990</v>
      </c>
    </row>
    <row r="55" spans="2:14">
      <c r="B55" s="64" t="s">
        <v>242</v>
      </c>
      <c r="C55" s="64" t="s">
        <v>165</v>
      </c>
      <c r="D55" s="72">
        <v>47</v>
      </c>
      <c r="E55" s="72">
        <v>33</v>
      </c>
      <c r="F55" s="72">
        <v>22</v>
      </c>
      <c r="G55" s="72">
        <v>17</v>
      </c>
      <c r="L55" s="65">
        <v>48</v>
      </c>
      <c r="M55" s="70">
        <f t="shared" si="2"/>
        <v>2130</v>
      </c>
      <c r="N55" s="71">
        <f t="shared" si="3"/>
        <v>4060</v>
      </c>
    </row>
    <row r="56" spans="2:14">
      <c r="B56" s="64" t="s">
        <v>243</v>
      </c>
      <c r="C56" s="64" t="s">
        <v>165</v>
      </c>
      <c r="D56" s="72">
        <v>47</v>
      </c>
      <c r="E56" s="72">
        <v>33</v>
      </c>
      <c r="F56" s="72">
        <v>22</v>
      </c>
      <c r="G56" s="72">
        <v>17</v>
      </c>
      <c r="L56" s="65">
        <v>49</v>
      </c>
      <c r="M56" s="70">
        <f t="shared" si="2"/>
        <v>2170</v>
      </c>
      <c r="N56" s="71">
        <f t="shared" si="3"/>
        <v>4130</v>
      </c>
    </row>
    <row r="57" spans="2:14">
      <c r="B57" s="64" t="s">
        <v>244</v>
      </c>
      <c r="C57" s="64" t="s">
        <v>165</v>
      </c>
      <c r="D57" s="72">
        <v>77</v>
      </c>
      <c r="E57" s="72">
        <v>57</v>
      </c>
      <c r="F57" s="72">
        <v>40</v>
      </c>
      <c r="G57" s="72">
        <v>32</v>
      </c>
      <c r="L57" s="65">
        <v>50</v>
      </c>
      <c r="M57" s="70">
        <f t="shared" si="2"/>
        <v>2210</v>
      </c>
      <c r="N57" s="71">
        <f t="shared" si="3"/>
        <v>4200</v>
      </c>
    </row>
    <row r="58" spans="2:14">
      <c r="B58" s="64" t="s">
        <v>245</v>
      </c>
      <c r="C58" s="64" t="s">
        <v>165</v>
      </c>
      <c r="D58" s="72">
        <v>108</v>
      </c>
      <c r="E58" s="72">
        <v>80</v>
      </c>
      <c r="F58" s="72">
        <v>57</v>
      </c>
      <c r="G58" s="72">
        <v>45</v>
      </c>
      <c r="L58" s="65">
        <v>51</v>
      </c>
      <c r="M58" s="70">
        <f t="shared" si="2"/>
        <v>2250</v>
      </c>
      <c r="N58" s="71">
        <f t="shared" si="3"/>
        <v>4270</v>
      </c>
    </row>
    <row r="59" spans="2:14">
      <c r="B59" s="64" t="s">
        <v>246</v>
      </c>
      <c r="C59" s="64" t="s">
        <v>165</v>
      </c>
      <c r="D59" s="72">
        <v>47</v>
      </c>
      <c r="E59" s="72">
        <v>33</v>
      </c>
      <c r="F59" s="72">
        <v>22</v>
      </c>
      <c r="G59" s="72">
        <v>17</v>
      </c>
      <c r="L59" s="65">
        <v>52</v>
      </c>
      <c r="M59" s="70">
        <f t="shared" si="2"/>
        <v>2290</v>
      </c>
      <c r="N59" s="71">
        <f t="shared" si="3"/>
        <v>4340</v>
      </c>
    </row>
    <row r="60" spans="2:14">
      <c r="B60" s="64" t="s">
        <v>247</v>
      </c>
      <c r="C60" s="64" t="s">
        <v>165</v>
      </c>
      <c r="D60" s="72">
        <v>108</v>
      </c>
      <c r="E60" s="72">
        <v>80</v>
      </c>
      <c r="F60" s="72">
        <v>57</v>
      </c>
      <c r="G60" s="72">
        <v>45</v>
      </c>
      <c r="L60" s="65">
        <v>53</v>
      </c>
      <c r="M60" s="70">
        <f t="shared" si="2"/>
        <v>2330</v>
      </c>
      <c r="N60" s="71">
        <f t="shared" si="3"/>
        <v>4410</v>
      </c>
    </row>
    <row r="61" spans="2:14">
      <c r="B61" s="64" t="s">
        <v>248</v>
      </c>
      <c r="C61" s="64" t="s">
        <v>165</v>
      </c>
      <c r="D61" s="72">
        <v>77</v>
      </c>
      <c r="E61" s="72">
        <v>57</v>
      </c>
      <c r="F61" s="72">
        <v>40</v>
      </c>
      <c r="G61" s="72">
        <v>32</v>
      </c>
      <c r="L61" s="65">
        <v>54</v>
      </c>
      <c r="M61" s="70">
        <f t="shared" si="2"/>
        <v>2370</v>
      </c>
      <c r="N61" s="71">
        <f t="shared" si="3"/>
        <v>4480</v>
      </c>
    </row>
    <row r="62" spans="2:14">
      <c r="B62" s="64" t="s">
        <v>249</v>
      </c>
      <c r="C62" s="64" t="s">
        <v>165</v>
      </c>
      <c r="D62" s="72">
        <v>47</v>
      </c>
      <c r="E62" s="72">
        <v>33</v>
      </c>
      <c r="F62" s="72">
        <v>22</v>
      </c>
      <c r="G62" s="72">
        <v>17</v>
      </c>
      <c r="L62" s="65">
        <v>55</v>
      </c>
      <c r="M62" s="70">
        <f t="shared" si="2"/>
        <v>2410</v>
      </c>
      <c r="N62" s="71">
        <f t="shared" si="3"/>
        <v>4550</v>
      </c>
    </row>
    <row r="63" spans="2:14">
      <c r="B63" s="64" t="s">
        <v>250</v>
      </c>
      <c r="C63" s="64" t="s">
        <v>165</v>
      </c>
      <c r="D63" s="72">
        <v>47</v>
      </c>
      <c r="E63" s="72">
        <v>33</v>
      </c>
      <c r="F63" s="72">
        <v>22</v>
      </c>
      <c r="G63" s="72">
        <v>17</v>
      </c>
      <c r="L63" s="65">
        <v>56</v>
      </c>
      <c r="M63" s="70">
        <f t="shared" si="2"/>
        <v>2450</v>
      </c>
      <c r="N63" s="71">
        <f t="shared" si="3"/>
        <v>4620</v>
      </c>
    </row>
    <row r="64" spans="2:14">
      <c r="B64" s="64" t="s">
        <v>251</v>
      </c>
      <c r="C64" s="64" t="s">
        <v>165</v>
      </c>
      <c r="D64" s="72">
        <v>77</v>
      </c>
      <c r="E64" s="72">
        <v>57</v>
      </c>
      <c r="F64" s="72">
        <v>40</v>
      </c>
      <c r="G64" s="72">
        <v>32</v>
      </c>
      <c r="L64" s="65">
        <v>57</v>
      </c>
      <c r="M64" s="70">
        <f t="shared" si="2"/>
        <v>2490</v>
      </c>
      <c r="N64" s="71">
        <f t="shared" si="3"/>
        <v>4690</v>
      </c>
    </row>
    <row r="65" spans="2:14">
      <c r="B65" s="64" t="s">
        <v>252</v>
      </c>
      <c r="C65" s="64" t="s">
        <v>165</v>
      </c>
      <c r="D65" s="72">
        <v>47</v>
      </c>
      <c r="E65" s="72">
        <v>33</v>
      </c>
      <c r="F65" s="72">
        <v>22</v>
      </c>
      <c r="G65" s="72">
        <v>17</v>
      </c>
      <c r="L65" s="65">
        <v>58</v>
      </c>
      <c r="M65" s="70">
        <f t="shared" si="2"/>
        <v>2530</v>
      </c>
      <c r="N65" s="71">
        <f t="shared" si="3"/>
        <v>4760</v>
      </c>
    </row>
    <row r="66" spans="2:14">
      <c r="B66" s="64" t="s">
        <v>253</v>
      </c>
      <c r="C66" s="64" t="s">
        <v>165</v>
      </c>
      <c r="D66" s="72">
        <v>47</v>
      </c>
      <c r="E66" s="72">
        <v>33</v>
      </c>
      <c r="F66" s="72">
        <v>22</v>
      </c>
      <c r="G66" s="72">
        <v>17</v>
      </c>
      <c r="L66" s="65">
        <v>59</v>
      </c>
      <c r="M66" s="70">
        <f t="shared" si="2"/>
        <v>2570</v>
      </c>
      <c r="N66" s="71">
        <f t="shared" si="3"/>
        <v>4830</v>
      </c>
    </row>
    <row r="67" spans="2:14">
      <c r="B67" s="64" t="s">
        <v>254</v>
      </c>
      <c r="C67" s="64" t="s">
        <v>165</v>
      </c>
      <c r="D67" s="72">
        <v>47</v>
      </c>
      <c r="E67" s="72">
        <v>33</v>
      </c>
      <c r="F67" s="72">
        <v>22</v>
      </c>
      <c r="G67" s="72">
        <v>17</v>
      </c>
      <c r="L67" s="65">
        <v>60</v>
      </c>
      <c r="M67" s="70">
        <f t="shared" si="2"/>
        <v>2610</v>
      </c>
      <c r="N67" s="71">
        <f t="shared" si="3"/>
        <v>4900</v>
      </c>
    </row>
    <row r="68" spans="2:14">
      <c r="B68" s="64" t="s">
        <v>255</v>
      </c>
      <c r="C68" s="64" t="s">
        <v>165</v>
      </c>
      <c r="D68" s="72">
        <v>108</v>
      </c>
      <c r="E68" s="72">
        <v>80</v>
      </c>
      <c r="F68" s="72">
        <v>57</v>
      </c>
      <c r="G68" s="72">
        <v>45</v>
      </c>
      <c r="L68" s="73">
        <v>61</v>
      </c>
      <c r="M68" s="70">
        <f t="shared" si="2"/>
        <v>2650</v>
      </c>
      <c r="N68" s="74">
        <f>((L68-$L$67)*50)+4900</f>
        <v>4950</v>
      </c>
    </row>
    <row r="69" spans="2:14">
      <c r="B69" s="64" t="s">
        <v>256</v>
      </c>
      <c r="C69" s="64" t="s">
        <v>165</v>
      </c>
      <c r="D69" s="72">
        <v>77</v>
      </c>
      <c r="E69" s="72">
        <v>57</v>
      </c>
      <c r="F69" s="72">
        <v>40</v>
      </c>
      <c r="G69" s="72">
        <v>32</v>
      </c>
      <c r="L69" s="65">
        <v>62</v>
      </c>
      <c r="M69" s="70">
        <f t="shared" si="2"/>
        <v>2690</v>
      </c>
      <c r="N69" s="74">
        <f t="shared" ref="N69:N97" si="4">((L69-$L$67)*50)+4900</f>
        <v>5000</v>
      </c>
    </row>
    <row r="70" spans="2:14">
      <c r="B70" s="64" t="s">
        <v>257</v>
      </c>
      <c r="C70" s="64" t="s">
        <v>165</v>
      </c>
      <c r="D70" s="72">
        <v>108</v>
      </c>
      <c r="E70" s="72">
        <v>80</v>
      </c>
      <c r="F70" s="72">
        <v>57</v>
      </c>
      <c r="G70" s="72">
        <v>45</v>
      </c>
      <c r="L70" s="65">
        <v>63</v>
      </c>
      <c r="M70" s="70">
        <f t="shared" si="2"/>
        <v>2730</v>
      </c>
      <c r="N70" s="74">
        <f t="shared" si="4"/>
        <v>5050</v>
      </c>
    </row>
    <row r="71" spans="2:14">
      <c r="B71" s="64" t="s">
        <v>258</v>
      </c>
      <c r="C71" s="64" t="s">
        <v>165</v>
      </c>
      <c r="D71" s="72">
        <v>108</v>
      </c>
      <c r="E71" s="72">
        <v>80</v>
      </c>
      <c r="F71" s="72">
        <v>57</v>
      </c>
      <c r="G71" s="72">
        <v>45</v>
      </c>
      <c r="L71" s="65">
        <v>64</v>
      </c>
      <c r="M71" s="70">
        <f t="shared" si="2"/>
        <v>2770</v>
      </c>
      <c r="N71" s="74">
        <f t="shared" si="4"/>
        <v>5100</v>
      </c>
    </row>
    <row r="72" spans="2:14">
      <c r="B72" s="64" t="s">
        <v>259</v>
      </c>
      <c r="C72" s="64" t="s">
        <v>165</v>
      </c>
      <c r="D72" s="72">
        <v>77</v>
      </c>
      <c r="E72" s="72">
        <v>57</v>
      </c>
      <c r="F72" s="72">
        <v>40</v>
      </c>
      <c r="G72" s="72">
        <v>32</v>
      </c>
      <c r="L72" s="65">
        <v>65</v>
      </c>
      <c r="M72" s="70">
        <f t="shared" si="2"/>
        <v>2810</v>
      </c>
      <c r="N72" s="74">
        <f t="shared" si="4"/>
        <v>5150</v>
      </c>
    </row>
    <row r="73" spans="2:14">
      <c r="B73" s="64" t="s">
        <v>260</v>
      </c>
      <c r="C73" s="64" t="s">
        <v>165</v>
      </c>
      <c r="D73" s="72">
        <v>47</v>
      </c>
      <c r="E73" s="72">
        <v>33</v>
      </c>
      <c r="F73" s="72">
        <v>22</v>
      </c>
      <c r="G73" s="72">
        <v>17</v>
      </c>
      <c r="L73" s="65">
        <v>66</v>
      </c>
      <c r="M73" s="70">
        <f t="shared" si="2"/>
        <v>2850</v>
      </c>
      <c r="N73" s="74">
        <f t="shared" si="4"/>
        <v>5200</v>
      </c>
    </row>
    <row r="74" spans="2:14">
      <c r="B74" s="64" t="s">
        <v>261</v>
      </c>
      <c r="C74" s="64" t="s">
        <v>165</v>
      </c>
      <c r="D74" s="72">
        <v>108</v>
      </c>
      <c r="E74" s="72">
        <v>80</v>
      </c>
      <c r="F74" s="72">
        <v>57</v>
      </c>
      <c r="G74" s="72">
        <v>45</v>
      </c>
      <c r="L74" s="65">
        <v>67</v>
      </c>
      <c r="M74" s="70">
        <f t="shared" si="2"/>
        <v>2890</v>
      </c>
      <c r="N74" s="74">
        <f t="shared" si="4"/>
        <v>5250</v>
      </c>
    </row>
    <row r="75" spans="2:14">
      <c r="B75" s="64" t="s">
        <v>262</v>
      </c>
      <c r="C75" s="64" t="s">
        <v>165</v>
      </c>
      <c r="D75" s="72">
        <v>77</v>
      </c>
      <c r="E75" s="72">
        <v>57</v>
      </c>
      <c r="F75" s="72">
        <v>40</v>
      </c>
      <c r="G75" s="72">
        <v>32</v>
      </c>
      <c r="L75" s="65">
        <v>68</v>
      </c>
      <c r="M75" s="70">
        <f t="shared" si="2"/>
        <v>2930</v>
      </c>
      <c r="N75" s="74">
        <f t="shared" si="4"/>
        <v>5300</v>
      </c>
    </row>
    <row r="76" spans="2:14">
      <c r="B76" s="64" t="s">
        <v>263</v>
      </c>
      <c r="C76" s="64" t="s">
        <v>165</v>
      </c>
      <c r="D76" s="72">
        <v>47</v>
      </c>
      <c r="E76" s="72">
        <v>33</v>
      </c>
      <c r="F76" s="72">
        <v>22</v>
      </c>
      <c r="G76" s="72">
        <v>17</v>
      </c>
      <c r="L76" s="65">
        <v>69</v>
      </c>
      <c r="M76" s="70">
        <f t="shared" si="2"/>
        <v>2970</v>
      </c>
      <c r="N76" s="74">
        <f t="shared" si="4"/>
        <v>5350</v>
      </c>
    </row>
    <row r="77" spans="2:14">
      <c r="B77" s="64" t="s">
        <v>264</v>
      </c>
      <c r="C77" s="64" t="s">
        <v>165</v>
      </c>
      <c r="D77" s="72">
        <v>77</v>
      </c>
      <c r="E77" s="72">
        <v>57</v>
      </c>
      <c r="F77" s="72">
        <v>40</v>
      </c>
      <c r="G77" s="72">
        <v>32</v>
      </c>
      <c r="L77" s="65">
        <v>70</v>
      </c>
      <c r="M77" s="70">
        <f t="shared" si="2"/>
        <v>3010</v>
      </c>
      <c r="N77" s="74">
        <f t="shared" si="4"/>
        <v>5400</v>
      </c>
    </row>
    <row r="78" spans="2:14">
      <c r="B78" s="64" t="s">
        <v>265</v>
      </c>
      <c r="C78" s="64" t="s">
        <v>165</v>
      </c>
      <c r="D78" s="72">
        <v>108</v>
      </c>
      <c r="E78" s="72">
        <v>80</v>
      </c>
      <c r="F78" s="72">
        <v>57</v>
      </c>
      <c r="G78" s="72">
        <v>45</v>
      </c>
      <c r="L78" s="65">
        <v>71</v>
      </c>
      <c r="M78" s="70">
        <f t="shared" si="2"/>
        <v>3050</v>
      </c>
      <c r="N78" s="74">
        <f t="shared" si="4"/>
        <v>5450</v>
      </c>
    </row>
    <row r="79" spans="2:14">
      <c r="B79" s="64" t="s">
        <v>266</v>
      </c>
      <c r="C79" s="64" t="s">
        <v>165</v>
      </c>
      <c r="D79" s="72">
        <v>77</v>
      </c>
      <c r="E79" s="72">
        <v>57</v>
      </c>
      <c r="F79" s="72">
        <v>40</v>
      </c>
      <c r="G79" s="72">
        <v>32</v>
      </c>
      <c r="L79" s="65">
        <v>72</v>
      </c>
      <c r="M79" s="70">
        <f t="shared" si="2"/>
        <v>3090</v>
      </c>
      <c r="N79" s="74">
        <f t="shared" si="4"/>
        <v>5500</v>
      </c>
    </row>
    <row r="80" spans="2:14">
      <c r="B80" s="64" t="s">
        <v>267</v>
      </c>
      <c r="C80" s="64" t="s">
        <v>165</v>
      </c>
      <c r="D80" s="72">
        <v>47</v>
      </c>
      <c r="E80" s="72">
        <v>33</v>
      </c>
      <c r="F80" s="72">
        <v>22</v>
      </c>
      <c r="G80" s="72">
        <v>17</v>
      </c>
      <c r="L80" s="65">
        <v>73</v>
      </c>
      <c r="M80" s="70">
        <f t="shared" si="2"/>
        <v>3130</v>
      </c>
      <c r="N80" s="74">
        <f t="shared" si="4"/>
        <v>5550</v>
      </c>
    </row>
    <row r="81" spans="2:14">
      <c r="B81" s="64" t="s">
        <v>268</v>
      </c>
      <c r="C81" s="64" t="s">
        <v>165</v>
      </c>
      <c r="D81" s="72">
        <v>77</v>
      </c>
      <c r="E81" s="72">
        <v>57</v>
      </c>
      <c r="F81" s="72">
        <v>40</v>
      </c>
      <c r="G81" s="72">
        <v>32</v>
      </c>
      <c r="L81" s="65">
        <v>74</v>
      </c>
      <c r="M81" s="70">
        <f t="shared" si="2"/>
        <v>3170</v>
      </c>
      <c r="N81" s="74">
        <f t="shared" si="4"/>
        <v>5600</v>
      </c>
    </row>
    <row r="82" spans="2:14">
      <c r="B82" s="64" t="s">
        <v>269</v>
      </c>
      <c r="C82" s="64" t="s">
        <v>165</v>
      </c>
      <c r="D82" s="72">
        <v>47</v>
      </c>
      <c r="E82" s="72">
        <v>33</v>
      </c>
      <c r="F82" s="72">
        <v>22</v>
      </c>
      <c r="G82" s="72">
        <v>17</v>
      </c>
      <c r="L82" s="65">
        <v>75</v>
      </c>
      <c r="M82" s="70">
        <f t="shared" si="2"/>
        <v>3210</v>
      </c>
      <c r="N82" s="74">
        <f t="shared" si="4"/>
        <v>5650</v>
      </c>
    </row>
    <row r="83" spans="2:14">
      <c r="B83" s="64" t="s">
        <v>270</v>
      </c>
      <c r="C83" s="64" t="s">
        <v>165</v>
      </c>
      <c r="D83" s="72">
        <v>77</v>
      </c>
      <c r="E83" s="72">
        <v>57</v>
      </c>
      <c r="F83" s="72">
        <v>40</v>
      </c>
      <c r="G83" s="72">
        <v>32</v>
      </c>
      <c r="L83" s="65">
        <v>76</v>
      </c>
      <c r="M83" s="70">
        <f t="shared" si="2"/>
        <v>3250</v>
      </c>
      <c r="N83" s="74">
        <f t="shared" si="4"/>
        <v>5700</v>
      </c>
    </row>
    <row r="84" spans="2:14">
      <c r="B84" s="64" t="s">
        <v>271</v>
      </c>
      <c r="C84" s="64" t="s">
        <v>165</v>
      </c>
      <c r="D84" s="72">
        <v>47</v>
      </c>
      <c r="E84" s="72">
        <v>33</v>
      </c>
      <c r="F84" s="72">
        <v>22</v>
      </c>
      <c r="G84" s="72">
        <v>17</v>
      </c>
      <c r="L84" s="65">
        <v>77</v>
      </c>
      <c r="M84" s="70">
        <f t="shared" si="2"/>
        <v>3290</v>
      </c>
      <c r="N84" s="74">
        <f t="shared" si="4"/>
        <v>5750</v>
      </c>
    </row>
    <row r="85" spans="2:14">
      <c r="B85" s="64" t="s">
        <v>272</v>
      </c>
      <c r="C85" s="64" t="s">
        <v>165</v>
      </c>
      <c r="D85" s="72">
        <v>47</v>
      </c>
      <c r="E85" s="72">
        <v>33</v>
      </c>
      <c r="F85" s="72">
        <v>22</v>
      </c>
      <c r="G85" s="72">
        <v>17</v>
      </c>
      <c r="L85" s="65">
        <v>78</v>
      </c>
      <c r="M85" s="70">
        <f t="shared" si="2"/>
        <v>3330</v>
      </c>
      <c r="N85" s="74">
        <f t="shared" si="4"/>
        <v>5800</v>
      </c>
    </row>
    <row r="86" spans="2:14">
      <c r="B86" s="64" t="s">
        <v>273</v>
      </c>
      <c r="C86" s="64" t="s">
        <v>165</v>
      </c>
      <c r="D86" s="72">
        <v>47</v>
      </c>
      <c r="E86" s="72">
        <v>33</v>
      </c>
      <c r="F86" s="72">
        <v>22</v>
      </c>
      <c r="G86" s="72">
        <v>17</v>
      </c>
      <c r="L86" s="65">
        <v>79</v>
      </c>
      <c r="M86" s="70">
        <f t="shared" si="2"/>
        <v>3370</v>
      </c>
      <c r="N86" s="74">
        <f t="shared" si="4"/>
        <v>5850</v>
      </c>
    </row>
    <row r="87" spans="2:14">
      <c r="B87" s="64" t="s">
        <v>274</v>
      </c>
      <c r="C87" s="64" t="s">
        <v>165</v>
      </c>
      <c r="D87" s="72">
        <v>47</v>
      </c>
      <c r="E87" s="72">
        <v>33</v>
      </c>
      <c r="F87" s="72">
        <v>22</v>
      </c>
      <c r="G87" s="72">
        <v>17</v>
      </c>
      <c r="L87" s="65">
        <v>80</v>
      </c>
      <c r="M87" s="70">
        <f t="shared" ref="M87:M97" si="5">((L87-$L$21)*40)+770</f>
        <v>3410</v>
      </c>
      <c r="N87" s="74">
        <f t="shared" si="4"/>
        <v>5900</v>
      </c>
    </row>
    <row r="88" spans="2:14">
      <c r="B88" s="64" t="s">
        <v>275</v>
      </c>
      <c r="C88" s="64" t="s">
        <v>165</v>
      </c>
      <c r="D88" s="72">
        <v>108</v>
      </c>
      <c r="E88" s="72">
        <v>80</v>
      </c>
      <c r="F88" s="72">
        <v>57</v>
      </c>
      <c r="G88" s="72">
        <v>45</v>
      </c>
      <c r="L88" s="65">
        <v>81</v>
      </c>
      <c r="M88" s="70">
        <f t="shared" si="5"/>
        <v>3450</v>
      </c>
      <c r="N88" s="74">
        <f t="shared" si="4"/>
        <v>5950</v>
      </c>
    </row>
    <row r="89" spans="2:14">
      <c r="B89" s="64" t="s">
        <v>276</v>
      </c>
      <c r="C89" s="64" t="s">
        <v>165</v>
      </c>
      <c r="D89" s="72">
        <v>47</v>
      </c>
      <c r="E89" s="72">
        <v>33</v>
      </c>
      <c r="F89" s="72">
        <v>22</v>
      </c>
      <c r="G89" s="72">
        <v>17</v>
      </c>
      <c r="L89" s="65">
        <v>82</v>
      </c>
      <c r="M89" s="70">
        <f t="shared" si="5"/>
        <v>3490</v>
      </c>
      <c r="N89" s="74">
        <f t="shared" si="4"/>
        <v>6000</v>
      </c>
    </row>
    <row r="90" spans="2:14">
      <c r="B90" s="64" t="s">
        <v>277</v>
      </c>
      <c r="C90" s="64" t="s">
        <v>165</v>
      </c>
      <c r="D90" s="72">
        <v>77</v>
      </c>
      <c r="E90" s="72">
        <v>57</v>
      </c>
      <c r="F90" s="72">
        <v>40</v>
      </c>
      <c r="G90" s="72">
        <v>32</v>
      </c>
      <c r="L90" s="65">
        <v>83</v>
      </c>
      <c r="M90" s="70">
        <f t="shared" si="5"/>
        <v>3530</v>
      </c>
      <c r="N90" s="74">
        <f t="shared" si="4"/>
        <v>6050</v>
      </c>
    </row>
    <row r="91" spans="2:14">
      <c r="B91" s="64" t="s">
        <v>278</v>
      </c>
      <c r="C91" s="64" t="s">
        <v>165</v>
      </c>
      <c r="D91" s="72">
        <v>47</v>
      </c>
      <c r="E91" s="72">
        <v>33</v>
      </c>
      <c r="F91" s="72">
        <v>22</v>
      </c>
      <c r="G91" s="72">
        <v>17</v>
      </c>
      <c r="L91" s="65">
        <v>84</v>
      </c>
      <c r="M91" s="70">
        <f t="shared" si="5"/>
        <v>3570</v>
      </c>
      <c r="N91" s="74">
        <f t="shared" si="4"/>
        <v>6100</v>
      </c>
    </row>
    <row r="92" spans="2:14">
      <c r="B92" s="64" t="s">
        <v>279</v>
      </c>
      <c r="C92" s="64" t="s">
        <v>165</v>
      </c>
      <c r="D92" s="72">
        <v>108</v>
      </c>
      <c r="E92" s="72">
        <v>80</v>
      </c>
      <c r="F92" s="72">
        <v>57</v>
      </c>
      <c r="G92" s="72">
        <v>45</v>
      </c>
      <c r="L92" s="65">
        <v>85</v>
      </c>
      <c r="M92" s="70">
        <f t="shared" si="5"/>
        <v>3610</v>
      </c>
      <c r="N92" s="74">
        <f t="shared" si="4"/>
        <v>6150</v>
      </c>
    </row>
    <row r="93" spans="2:14">
      <c r="B93" s="64" t="s">
        <v>280</v>
      </c>
      <c r="C93" s="64" t="s">
        <v>165</v>
      </c>
      <c r="D93" s="72">
        <v>77</v>
      </c>
      <c r="E93" s="72">
        <v>57</v>
      </c>
      <c r="F93" s="72">
        <v>40</v>
      </c>
      <c r="G93" s="72">
        <v>32</v>
      </c>
      <c r="L93" s="65">
        <v>86</v>
      </c>
      <c r="M93" s="70">
        <f t="shared" si="5"/>
        <v>3650</v>
      </c>
      <c r="N93" s="74">
        <f t="shared" si="4"/>
        <v>6200</v>
      </c>
    </row>
    <row r="94" spans="2:14">
      <c r="B94" s="64" t="s">
        <v>281</v>
      </c>
      <c r="C94" s="64" t="s">
        <v>165</v>
      </c>
      <c r="D94" s="72">
        <v>47</v>
      </c>
      <c r="E94" s="72">
        <v>33</v>
      </c>
      <c r="F94" s="72">
        <v>22</v>
      </c>
      <c r="G94" s="72">
        <v>17</v>
      </c>
      <c r="L94" s="65">
        <v>87</v>
      </c>
      <c r="M94" s="70">
        <f t="shared" si="5"/>
        <v>3690</v>
      </c>
      <c r="N94" s="74">
        <f t="shared" si="4"/>
        <v>6250</v>
      </c>
    </row>
    <row r="95" spans="2:14">
      <c r="B95" s="64" t="s">
        <v>282</v>
      </c>
      <c r="C95" s="64" t="s">
        <v>165</v>
      </c>
      <c r="D95" s="72">
        <v>77</v>
      </c>
      <c r="E95" s="72">
        <v>57</v>
      </c>
      <c r="F95" s="72">
        <v>40</v>
      </c>
      <c r="G95" s="72">
        <v>32</v>
      </c>
      <c r="L95" s="65">
        <v>88</v>
      </c>
      <c r="M95" s="70">
        <f t="shared" si="5"/>
        <v>3730</v>
      </c>
      <c r="N95" s="74">
        <f t="shared" si="4"/>
        <v>6300</v>
      </c>
    </row>
    <row r="96" spans="2:14">
      <c r="B96" s="64" t="s">
        <v>283</v>
      </c>
      <c r="C96" s="64" t="s">
        <v>165</v>
      </c>
      <c r="D96" s="72">
        <v>47</v>
      </c>
      <c r="E96" s="72">
        <v>33</v>
      </c>
      <c r="F96" s="72">
        <v>22</v>
      </c>
      <c r="G96" s="72">
        <v>17</v>
      </c>
      <c r="L96" s="65">
        <v>89</v>
      </c>
      <c r="M96" s="70">
        <f t="shared" si="5"/>
        <v>3770</v>
      </c>
      <c r="N96" s="74">
        <f t="shared" si="4"/>
        <v>6350</v>
      </c>
    </row>
    <row r="97" spans="2:14">
      <c r="B97" s="64" t="s">
        <v>284</v>
      </c>
      <c r="C97" s="64" t="s">
        <v>165</v>
      </c>
      <c r="D97" s="72">
        <v>77</v>
      </c>
      <c r="E97" s="72">
        <v>57</v>
      </c>
      <c r="F97" s="72">
        <v>40</v>
      </c>
      <c r="G97" s="72">
        <v>32</v>
      </c>
      <c r="L97" s="65">
        <v>90</v>
      </c>
      <c r="M97" s="70">
        <f t="shared" si="5"/>
        <v>3810</v>
      </c>
      <c r="N97" s="74">
        <f t="shared" si="4"/>
        <v>6400</v>
      </c>
    </row>
    <row r="98" spans="2:14">
      <c r="B98" s="64" t="s">
        <v>285</v>
      </c>
      <c r="C98" s="64" t="s">
        <v>165</v>
      </c>
      <c r="D98" s="72">
        <v>47</v>
      </c>
      <c r="E98" s="72">
        <v>33</v>
      </c>
      <c r="F98" s="72">
        <v>22</v>
      </c>
      <c r="G98" s="72">
        <v>17</v>
      </c>
    </row>
    <row r="99" spans="2:14">
      <c r="B99" s="64" t="s">
        <v>286</v>
      </c>
      <c r="C99" s="64" t="s">
        <v>165</v>
      </c>
      <c r="D99" s="72">
        <v>47</v>
      </c>
      <c r="E99" s="72">
        <v>33</v>
      </c>
      <c r="F99" s="72">
        <v>22</v>
      </c>
      <c r="G99" s="72">
        <v>17</v>
      </c>
    </row>
    <row r="100" spans="2:14">
      <c r="B100" s="64" t="s">
        <v>287</v>
      </c>
      <c r="C100" s="64" t="s">
        <v>165</v>
      </c>
      <c r="D100" s="72">
        <v>47</v>
      </c>
      <c r="E100" s="72">
        <v>33</v>
      </c>
      <c r="F100" s="72">
        <v>22</v>
      </c>
      <c r="G100" s="72">
        <v>17</v>
      </c>
    </row>
    <row r="101" spans="2:14">
      <c r="B101" s="64" t="s">
        <v>288</v>
      </c>
      <c r="C101" s="64" t="s">
        <v>165</v>
      </c>
      <c r="D101" s="72">
        <v>77</v>
      </c>
      <c r="E101" s="72">
        <v>57</v>
      </c>
      <c r="F101" s="72">
        <v>40</v>
      </c>
      <c r="G101" s="72">
        <v>32</v>
      </c>
    </row>
    <row r="102" spans="2:14">
      <c r="B102" s="64" t="s">
        <v>289</v>
      </c>
      <c r="C102" s="64" t="s">
        <v>165</v>
      </c>
      <c r="D102" s="72">
        <v>77</v>
      </c>
      <c r="E102" s="72">
        <v>57</v>
      </c>
      <c r="F102" s="72">
        <v>40</v>
      </c>
      <c r="G102" s="72">
        <v>32</v>
      </c>
    </row>
    <row r="103" spans="2:14">
      <c r="B103" s="64" t="s">
        <v>290</v>
      </c>
      <c r="C103" s="64" t="s">
        <v>165</v>
      </c>
      <c r="D103" s="72">
        <v>166</v>
      </c>
      <c r="E103" s="72">
        <v>132</v>
      </c>
      <c r="F103" s="72">
        <v>102</v>
      </c>
      <c r="G103" s="72">
        <v>92</v>
      </c>
    </row>
    <row r="104" spans="2:14">
      <c r="B104" s="64" t="s">
        <v>291</v>
      </c>
      <c r="C104" s="64" t="s">
        <v>165</v>
      </c>
      <c r="D104" s="72">
        <v>108</v>
      </c>
      <c r="E104" s="72">
        <v>80</v>
      </c>
      <c r="F104" s="72">
        <v>57</v>
      </c>
      <c r="G104" s="72">
        <v>45</v>
      </c>
    </row>
    <row r="105" spans="2:14">
      <c r="B105" s="64" t="s">
        <v>292</v>
      </c>
      <c r="C105" s="64" t="s">
        <v>165</v>
      </c>
      <c r="D105" s="72">
        <v>77</v>
      </c>
      <c r="E105" s="72">
        <v>57</v>
      </c>
      <c r="F105" s="72">
        <v>40</v>
      </c>
      <c r="G105" s="72">
        <v>32</v>
      </c>
    </row>
    <row r="106" spans="2:14">
      <c r="B106" s="64" t="s">
        <v>293</v>
      </c>
      <c r="C106" s="64" t="s">
        <v>165</v>
      </c>
      <c r="D106" s="72">
        <v>77</v>
      </c>
      <c r="E106" s="72">
        <v>57</v>
      </c>
      <c r="F106" s="72">
        <v>40</v>
      </c>
      <c r="G106" s="72">
        <v>32</v>
      </c>
    </row>
    <row r="107" spans="2:14">
      <c r="B107" s="64" t="s">
        <v>294</v>
      </c>
      <c r="C107" s="64" t="s">
        <v>165</v>
      </c>
      <c r="D107" s="72">
        <v>77</v>
      </c>
      <c r="E107" s="72">
        <v>57</v>
      </c>
      <c r="F107" s="72">
        <v>40</v>
      </c>
      <c r="G107" s="72">
        <v>32</v>
      </c>
    </row>
    <row r="108" spans="2:14">
      <c r="B108" s="64" t="s">
        <v>295</v>
      </c>
      <c r="C108" s="64" t="s">
        <v>165</v>
      </c>
      <c r="D108" s="72">
        <v>77</v>
      </c>
      <c r="E108" s="72">
        <v>57</v>
      </c>
      <c r="F108" s="72">
        <v>40</v>
      </c>
      <c r="G108" s="72">
        <v>32</v>
      </c>
    </row>
    <row r="109" spans="2:14">
      <c r="B109" s="64" t="s">
        <v>296</v>
      </c>
      <c r="C109" s="64" t="s">
        <v>165</v>
      </c>
      <c r="D109" s="72">
        <v>47</v>
      </c>
      <c r="E109" s="72">
        <v>33</v>
      </c>
      <c r="F109" s="72">
        <v>22</v>
      </c>
      <c r="G109" s="72">
        <v>17</v>
      </c>
    </row>
    <row r="110" spans="2:14">
      <c r="B110" s="64" t="s">
        <v>297</v>
      </c>
      <c r="C110" s="64" t="s">
        <v>165</v>
      </c>
      <c r="D110" s="72">
        <v>108</v>
      </c>
      <c r="E110" s="72">
        <v>80</v>
      </c>
      <c r="F110" s="72">
        <v>57</v>
      </c>
      <c r="G110" s="72">
        <v>45</v>
      </c>
    </row>
    <row r="111" spans="2:14">
      <c r="B111" s="64" t="s">
        <v>298</v>
      </c>
      <c r="C111" s="64" t="s">
        <v>165</v>
      </c>
      <c r="D111" s="72">
        <v>47</v>
      </c>
      <c r="E111" s="72">
        <v>33</v>
      </c>
      <c r="F111" s="72">
        <v>22</v>
      </c>
      <c r="G111" s="72">
        <v>17</v>
      </c>
    </row>
    <row r="112" spans="2:14">
      <c r="B112" s="64" t="s">
        <v>299</v>
      </c>
      <c r="C112" s="64" t="s">
        <v>165</v>
      </c>
      <c r="D112" s="72">
        <v>47</v>
      </c>
      <c r="E112" s="72">
        <v>33</v>
      </c>
      <c r="F112" s="72">
        <v>22</v>
      </c>
      <c r="G112" s="72">
        <v>17</v>
      </c>
    </row>
    <row r="113" spans="2:7">
      <c r="B113" s="64" t="s">
        <v>300</v>
      </c>
      <c r="C113" s="64" t="s">
        <v>165</v>
      </c>
      <c r="D113" s="72">
        <v>108</v>
      </c>
      <c r="E113" s="72">
        <v>80</v>
      </c>
      <c r="F113" s="72">
        <v>57</v>
      </c>
      <c r="G113" s="72">
        <v>45</v>
      </c>
    </row>
    <row r="114" spans="2:7">
      <c r="B114" s="64" t="s">
        <v>301</v>
      </c>
      <c r="C114" s="64" t="s">
        <v>165</v>
      </c>
      <c r="D114" s="72">
        <v>47</v>
      </c>
      <c r="E114" s="72">
        <v>33</v>
      </c>
      <c r="F114" s="72">
        <v>22</v>
      </c>
      <c r="G114" s="72">
        <v>17</v>
      </c>
    </row>
    <row r="115" spans="2:7">
      <c r="B115" s="64" t="s">
        <v>302</v>
      </c>
      <c r="C115" s="64" t="s">
        <v>165</v>
      </c>
      <c r="D115" s="72">
        <v>47</v>
      </c>
      <c r="E115" s="72">
        <v>33</v>
      </c>
      <c r="F115" s="72">
        <v>22</v>
      </c>
      <c r="G115" s="72">
        <v>17</v>
      </c>
    </row>
    <row r="116" spans="2:7">
      <c r="B116" s="64" t="s">
        <v>303</v>
      </c>
      <c r="C116" s="64" t="s">
        <v>165</v>
      </c>
      <c r="D116" s="72">
        <v>108</v>
      </c>
      <c r="E116" s="72">
        <v>80</v>
      </c>
      <c r="F116" s="72">
        <v>57</v>
      </c>
      <c r="G116" s="72">
        <v>45</v>
      </c>
    </row>
    <row r="117" spans="2:7">
      <c r="B117" s="64" t="s">
        <v>304</v>
      </c>
      <c r="C117" s="64" t="s">
        <v>165</v>
      </c>
      <c r="D117" s="72">
        <v>47</v>
      </c>
      <c r="E117" s="72">
        <v>33</v>
      </c>
      <c r="F117" s="72">
        <v>22</v>
      </c>
      <c r="G117" s="72">
        <v>17</v>
      </c>
    </row>
    <row r="118" spans="2:7">
      <c r="B118" s="64" t="s">
        <v>305</v>
      </c>
      <c r="C118" s="64" t="s">
        <v>165</v>
      </c>
      <c r="D118" s="72">
        <v>47</v>
      </c>
      <c r="E118" s="72">
        <v>33</v>
      </c>
      <c r="F118" s="72">
        <v>22</v>
      </c>
      <c r="G118" s="72">
        <v>17</v>
      </c>
    </row>
    <row r="119" spans="2:7">
      <c r="B119" s="64" t="s">
        <v>306</v>
      </c>
      <c r="C119" s="64" t="s">
        <v>165</v>
      </c>
      <c r="D119" s="72">
        <v>47</v>
      </c>
      <c r="E119" s="72">
        <v>33</v>
      </c>
      <c r="F119" s="72">
        <v>22</v>
      </c>
      <c r="G119" s="72">
        <v>17</v>
      </c>
    </row>
    <row r="120" spans="2:7">
      <c r="B120" s="64" t="s">
        <v>307</v>
      </c>
      <c r="C120" s="64" t="s">
        <v>165</v>
      </c>
      <c r="D120" s="72">
        <v>47</v>
      </c>
      <c r="E120" s="72">
        <v>33</v>
      </c>
      <c r="F120" s="72">
        <v>22</v>
      </c>
      <c r="G120" s="72">
        <v>17</v>
      </c>
    </row>
    <row r="121" spans="2:7">
      <c r="B121" s="64" t="s">
        <v>308</v>
      </c>
      <c r="C121" s="64" t="s">
        <v>165</v>
      </c>
      <c r="D121" s="72">
        <v>47</v>
      </c>
      <c r="E121" s="72">
        <v>33</v>
      </c>
      <c r="F121" s="72">
        <v>22</v>
      </c>
      <c r="G121" s="72">
        <v>17</v>
      </c>
    </row>
    <row r="122" spans="2:7">
      <c r="B122" s="64" t="s">
        <v>309</v>
      </c>
      <c r="C122" s="64" t="s">
        <v>165</v>
      </c>
      <c r="D122" s="72">
        <v>47</v>
      </c>
      <c r="E122" s="72">
        <v>33</v>
      </c>
      <c r="F122" s="72">
        <v>22</v>
      </c>
      <c r="G122" s="72">
        <v>17</v>
      </c>
    </row>
    <row r="123" spans="2:7">
      <c r="B123" s="64" t="s">
        <v>310</v>
      </c>
      <c r="C123" s="64" t="s">
        <v>165</v>
      </c>
      <c r="D123" s="72">
        <v>47</v>
      </c>
      <c r="E123" s="72">
        <v>33</v>
      </c>
      <c r="F123" s="72">
        <v>22</v>
      </c>
      <c r="G123" s="72">
        <v>17</v>
      </c>
    </row>
    <row r="124" spans="2:7">
      <c r="B124" s="64" t="s">
        <v>311</v>
      </c>
      <c r="C124" s="64" t="s">
        <v>165</v>
      </c>
      <c r="D124" s="72">
        <v>47</v>
      </c>
      <c r="E124" s="72">
        <v>33</v>
      </c>
      <c r="F124" s="72">
        <v>22</v>
      </c>
      <c r="G124" s="72">
        <v>17</v>
      </c>
    </row>
    <row r="125" spans="2:7">
      <c r="B125" s="64" t="s">
        <v>312</v>
      </c>
      <c r="C125" s="64" t="s">
        <v>165</v>
      </c>
      <c r="D125" s="72">
        <v>108</v>
      </c>
      <c r="E125" s="72">
        <v>80</v>
      </c>
      <c r="F125" s="72">
        <v>57</v>
      </c>
      <c r="G125" s="72">
        <v>45</v>
      </c>
    </row>
    <row r="126" spans="2:7">
      <c r="B126" s="64" t="s">
        <v>313</v>
      </c>
      <c r="C126" s="64" t="s">
        <v>165</v>
      </c>
      <c r="D126" s="72">
        <v>77</v>
      </c>
      <c r="E126" s="72">
        <v>57</v>
      </c>
      <c r="F126" s="72">
        <v>40</v>
      </c>
      <c r="G126" s="72">
        <v>32</v>
      </c>
    </row>
    <row r="127" spans="2:7">
      <c r="B127" s="64" t="s">
        <v>314</v>
      </c>
      <c r="C127" s="64" t="s">
        <v>165</v>
      </c>
      <c r="D127" s="72">
        <v>47</v>
      </c>
      <c r="E127" s="72">
        <v>33</v>
      </c>
      <c r="F127" s="72">
        <v>22</v>
      </c>
      <c r="G127" s="72">
        <v>17</v>
      </c>
    </row>
    <row r="128" spans="2:7">
      <c r="B128" s="64" t="s">
        <v>315</v>
      </c>
      <c r="C128" s="64" t="s">
        <v>165</v>
      </c>
      <c r="D128" s="72">
        <v>47</v>
      </c>
      <c r="E128" s="72">
        <v>33</v>
      </c>
      <c r="F128" s="72">
        <v>22</v>
      </c>
      <c r="G128" s="72">
        <v>17</v>
      </c>
    </row>
    <row r="129" spans="2:7">
      <c r="B129" s="64" t="s">
        <v>38</v>
      </c>
      <c r="C129" s="64" t="s">
        <v>165</v>
      </c>
      <c r="D129" s="72">
        <v>108</v>
      </c>
      <c r="E129" s="72">
        <v>80</v>
      </c>
      <c r="F129" s="72">
        <v>57</v>
      </c>
      <c r="G129" s="72">
        <v>45</v>
      </c>
    </row>
    <row r="130" spans="2:7">
      <c r="B130" s="64" t="s">
        <v>316</v>
      </c>
      <c r="C130" s="64" t="s">
        <v>165</v>
      </c>
      <c r="D130" s="72">
        <v>77</v>
      </c>
      <c r="E130" s="72">
        <v>57</v>
      </c>
      <c r="F130" s="72">
        <v>40</v>
      </c>
      <c r="G130" s="72">
        <v>32</v>
      </c>
    </row>
    <row r="131" spans="2:7">
      <c r="B131" s="64" t="s">
        <v>317</v>
      </c>
      <c r="C131" s="64" t="s">
        <v>165</v>
      </c>
      <c r="D131" s="72">
        <v>77</v>
      </c>
      <c r="E131" s="72">
        <v>57</v>
      </c>
      <c r="F131" s="72">
        <v>40</v>
      </c>
      <c r="G131" s="72">
        <v>32</v>
      </c>
    </row>
    <row r="132" spans="2:7">
      <c r="B132" s="64" t="s">
        <v>318</v>
      </c>
      <c r="C132" s="64" t="s">
        <v>165</v>
      </c>
      <c r="D132" s="72">
        <v>47</v>
      </c>
      <c r="E132" s="72">
        <v>33</v>
      </c>
      <c r="F132" s="72">
        <v>22</v>
      </c>
      <c r="G132" s="72">
        <v>17</v>
      </c>
    </row>
    <row r="133" spans="2:7">
      <c r="B133" s="64" t="s">
        <v>319</v>
      </c>
      <c r="C133" s="64" t="s">
        <v>165</v>
      </c>
      <c r="D133" s="72">
        <v>77</v>
      </c>
      <c r="E133" s="72">
        <v>57</v>
      </c>
      <c r="F133" s="72">
        <v>40</v>
      </c>
      <c r="G133" s="72">
        <v>32</v>
      </c>
    </row>
    <row r="134" spans="2:7">
      <c r="B134" s="64" t="s">
        <v>320</v>
      </c>
      <c r="C134" s="64" t="s">
        <v>165</v>
      </c>
      <c r="D134" s="72">
        <v>47</v>
      </c>
      <c r="E134" s="72">
        <v>33</v>
      </c>
      <c r="F134" s="72">
        <v>22</v>
      </c>
      <c r="G134" s="72">
        <v>17</v>
      </c>
    </row>
    <row r="135" spans="2:7">
      <c r="B135" s="64" t="s">
        <v>321</v>
      </c>
      <c r="C135" s="64" t="s">
        <v>165</v>
      </c>
      <c r="D135" s="72">
        <v>47</v>
      </c>
      <c r="E135" s="72">
        <v>33</v>
      </c>
      <c r="F135" s="72">
        <v>22</v>
      </c>
      <c r="G135" s="72">
        <v>17</v>
      </c>
    </row>
    <row r="136" spans="2:7">
      <c r="B136" s="64" t="s">
        <v>322</v>
      </c>
      <c r="C136" s="64" t="s">
        <v>165</v>
      </c>
      <c r="D136" s="72">
        <v>47</v>
      </c>
      <c r="E136" s="72">
        <v>33</v>
      </c>
      <c r="F136" s="72">
        <v>22</v>
      </c>
      <c r="G136" s="72">
        <v>17</v>
      </c>
    </row>
    <row r="137" spans="2:7">
      <c r="B137" s="64" t="s">
        <v>323</v>
      </c>
      <c r="C137" s="64" t="s">
        <v>165</v>
      </c>
      <c r="D137" s="72">
        <v>47</v>
      </c>
      <c r="E137" s="72">
        <v>33</v>
      </c>
      <c r="F137" s="72">
        <v>22</v>
      </c>
      <c r="G137" s="72">
        <v>17</v>
      </c>
    </row>
    <row r="138" spans="2:7">
      <c r="B138" s="64" t="s">
        <v>324</v>
      </c>
      <c r="C138" s="64" t="s">
        <v>165</v>
      </c>
      <c r="D138" s="72">
        <v>108</v>
      </c>
      <c r="E138" s="72">
        <v>80</v>
      </c>
      <c r="F138" s="72">
        <v>57</v>
      </c>
      <c r="G138" s="72">
        <v>45</v>
      </c>
    </row>
    <row r="139" spans="2:7">
      <c r="B139" s="64" t="s">
        <v>325</v>
      </c>
      <c r="C139" s="64" t="s">
        <v>165</v>
      </c>
      <c r="D139" s="72">
        <v>47</v>
      </c>
      <c r="E139" s="72">
        <v>33</v>
      </c>
      <c r="F139" s="72">
        <v>22</v>
      </c>
      <c r="G139" s="72">
        <v>17</v>
      </c>
    </row>
    <row r="140" spans="2:7">
      <c r="B140" s="64" t="s">
        <v>326</v>
      </c>
      <c r="C140" s="64" t="s">
        <v>165</v>
      </c>
      <c r="D140" s="72">
        <v>47</v>
      </c>
      <c r="E140" s="72">
        <v>33</v>
      </c>
      <c r="F140" s="72">
        <v>22</v>
      </c>
      <c r="G140" s="72">
        <v>17</v>
      </c>
    </row>
    <row r="141" spans="2:7">
      <c r="B141" s="64" t="s">
        <v>327</v>
      </c>
      <c r="C141" s="64" t="s">
        <v>165</v>
      </c>
      <c r="D141" s="72">
        <v>47</v>
      </c>
      <c r="E141" s="72">
        <v>33</v>
      </c>
      <c r="F141" s="72">
        <v>22</v>
      </c>
      <c r="G141" s="72">
        <v>17</v>
      </c>
    </row>
    <row r="142" spans="2:7">
      <c r="B142" s="64" t="s">
        <v>328</v>
      </c>
      <c r="C142" s="64" t="s">
        <v>165</v>
      </c>
      <c r="D142" s="72">
        <v>77</v>
      </c>
      <c r="E142" s="72">
        <v>57</v>
      </c>
      <c r="F142" s="72">
        <v>40</v>
      </c>
      <c r="G142" s="72">
        <v>32</v>
      </c>
    </row>
    <row r="143" spans="2:7">
      <c r="B143" s="64" t="s">
        <v>329</v>
      </c>
      <c r="C143" s="64" t="s">
        <v>165</v>
      </c>
      <c r="D143" s="72">
        <v>77</v>
      </c>
      <c r="E143" s="72">
        <v>57</v>
      </c>
      <c r="F143" s="72">
        <v>40</v>
      </c>
      <c r="G143" s="72">
        <v>32</v>
      </c>
    </row>
    <row r="144" spans="2:7">
      <c r="B144" s="64" t="s">
        <v>330</v>
      </c>
      <c r="C144" s="64" t="s">
        <v>165</v>
      </c>
      <c r="D144" s="72">
        <v>77</v>
      </c>
      <c r="E144" s="72">
        <v>57</v>
      </c>
      <c r="F144" s="72">
        <v>40</v>
      </c>
      <c r="G144" s="72">
        <v>32</v>
      </c>
    </row>
    <row r="145" spans="2:7">
      <c r="B145" s="64" t="s">
        <v>331</v>
      </c>
      <c r="C145" s="64" t="s">
        <v>165</v>
      </c>
      <c r="D145" s="72">
        <v>77</v>
      </c>
      <c r="E145" s="72">
        <v>57</v>
      </c>
      <c r="F145" s="72">
        <v>40</v>
      </c>
      <c r="G145" s="72">
        <v>32</v>
      </c>
    </row>
    <row r="146" spans="2:7">
      <c r="B146" s="64" t="s">
        <v>332</v>
      </c>
      <c r="C146" s="64" t="s">
        <v>165</v>
      </c>
      <c r="D146" s="72">
        <v>108</v>
      </c>
      <c r="E146" s="72">
        <v>80</v>
      </c>
      <c r="F146" s="72">
        <v>57</v>
      </c>
      <c r="G146" s="72">
        <v>45</v>
      </c>
    </row>
    <row r="147" spans="2:7">
      <c r="B147" s="64" t="s">
        <v>333</v>
      </c>
      <c r="C147" s="64" t="s">
        <v>165</v>
      </c>
      <c r="D147" s="72">
        <v>47</v>
      </c>
      <c r="E147" s="72">
        <v>33</v>
      </c>
      <c r="F147" s="72">
        <v>22</v>
      </c>
      <c r="G147" s="72">
        <v>17</v>
      </c>
    </row>
    <row r="148" spans="2:7">
      <c r="B148" s="64" t="s">
        <v>334</v>
      </c>
      <c r="C148" s="64" t="s">
        <v>165</v>
      </c>
      <c r="D148" s="72">
        <v>77</v>
      </c>
      <c r="E148" s="72">
        <v>57</v>
      </c>
      <c r="F148" s="72">
        <v>40</v>
      </c>
      <c r="G148" s="72">
        <v>32</v>
      </c>
    </row>
    <row r="149" spans="2:7">
      <c r="B149" s="64" t="s">
        <v>335</v>
      </c>
      <c r="C149" s="64" t="s">
        <v>165</v>
      </c>
      <c r="D149" s="72">
        <v>47</v>
      </c>
      <c r="E149" s="72">
        <v>33</v>
      </c>
      <c r="F149" s="72">
        <v>22</v>
      </c>
      <c r="G149" s="72">
        <v>17</v>
      </c>
    </row>
    <row r="150" spans="2:7">
      <c r="B150" s="64" t="s">
        <v>336</v>
      </c>
      <c r="C150" s="64" t="s">
        <v>165</v>
      </c>
      <c r="D150" s="72">
        <v>108</v>
      </c>
      <c r="E150" s="72">
        <v>80</v>
      </c>
      <c r="F150" s="72">
        <v>57</v>
      </c>
      <c r="G150" s="72">
        <v>45</v>
      </c>
    </row>
    <row r="151" spans="2:7">
      <c r="B151" s="64" t="s">
        <v>337</v>
      </c>
      <c r="C151" s="64" t="s">
        <v>165</v>
      </c>
      <c r="D151" s="72">
        <v>108</v>
      </c>
      <c r="E151" s="72">
        <v>80</v>
      </c>
      <c r="F151" s="72">
        <v>57</v>
      </c>
      <c r="G151" s="72">
        <v>45</v>
      </c>
    </row>
    <row r="152" spans="2:7">
      <c r="B152" s="64" t="s">
        <v>338</v>
      </c>
      <c r="C152" s="64" t="s">
        <v>165</v>
      </c>
      <c r="D152" s="72">
        <v>108</v>
      </c>
      <c r="E152" s="72">
        <v>80</v>
      </c>
      <c r="F152" s="72">
        <v>57</v>
      </c>
      <c r="G152" s="72">
        <v>45</v>
      </c>
    </row>
    <row r="153" spans="2:7">
      <c r="B153" s="64" t="s">
        <v>339</v>
      </c>
      <c r="C153" s="64" t="s">
        <v>165</v>
      </c>
      <c r="D153" s="72">
        <v>47</v>
      </c>
      <c r="E153" s="72">
        <v>33</v>
      </c>
      <c r="F153" s="72">
        <v>22</v>
      </c>
      <c r="G153" s="72">
        <v>17</v>
      </c>
    </row>
    <row r="154" spans="2:7">
      <c r="B154" s="64" t="s">
        <v>340</v>
      </c>
      <c r="C154" s="64" t="s">
        <v>165</v>
      </c>
      <c r="D154" s="72">
        <v>108</v>
      </c>
      <c r="E154" s="72">
        <v>80</v>
      </c>
      <c r="F154" s="72">
        <v>57</v>
      </c>
      <c r="G154" s="72">
        <v>45</v>
      </c>
    </row>
    <row r="155" spans="2:7">
      <c r="B155" s="64" t="s">
        <v>341</v>
      </c>
      <c r="C155" s="64" t="s">
        <v>165</v>
      </c>
      <c r="D155" s="72">
        <v>77</v>
      </c>
      <c r="E155" s="72">
        <v>57</v>
      </c>
      <c r="F155" s="72">
        <v>40</v>
      </c>
      <c r="G155" s="72">
        <v>32</v>
      </c>
    </row>
    <row r="156" spans="2:7">
      <c r="B156" s="64" t="s">
        <v>342</v>
      </c>
      <c r="C156" s="64" t="s">
        <v>165</v>
      </c>
      <c r="D156" s="72">
        <v>108</v>
      </c>
      <c r="E156" s="72">
        <v>80</v>
      </c>
      <c r="F156" s="72">
        <v>57</v>
      </c>
      <c r="G156" s="72">
        <v>45</v>
      </c>
    </row>
    <row r="157" spans="2:7">
      <c r="B157" s="64" t="s">
        <v>343</v>
      </c>
      <c r="C157" s="64" t="s">
        <v>165</v>
      </c>
      <c r="D157" s="72">
        <v>47</v>
      </c>
      <c r="E157" s="72">
        <v>33</v>
      </c>
      <c r="F157" s="72">
        <v>22</v>
      </c>
      <c r="G157" s="72">
        <v>17</v>
      </c>
    </row>
    <row r="158" spans="2:7">
      <c r="B158" s="64" t="s">
        <v>344</v>
      </c>
      <c r="C158" s="64" t="s">
        <v>165</v>
      </c>
      <c r="D158" s="72">
        <v>47</v>
      </c>
      <c r="E158" s="72">
        <v>33</v>
      </c>
      <c r="F158" s="72">
        <v>22</v>
      </c>
      <c r="G158" s="72">
        <v>17</v>
      </c>
    </row>
    <row r="159" spans="2:7">
      <c r="B159" s="64" t="s">
        <v>345</v>
      </c>
      <c r="C159" s="64" t="s">
        <v>165</v>
      </c>
      <c r="D159" s="72">
        <v>47</v>
      </c>
      <c r="E159" s="72">
        <v>33</v>
      </c>
      <c r="F159" s="72">
        <v>22</v>
      </c>
      <c r="G159" s="72">
        <v>17</v>
      </c>
    </row>
    <row r="160" spans="2:7">
      <c r="B160" s="64" t="s">
        <v>346</v>
      </c>
      <c r="C160" s="64" t="s">
        <v>165</v>
      </c>
      <c r="D160" s="72">
        <v>77</v>
      </c>
      <c r="E160" s="72">
        <v>57</v>
      </c>
      <c r="F160" s="72">
        <v>40</v>
      </c>
      <c r="G160" s="72">
        <v>32</v>
      </c>
    </row>
    <row r="161" spans="2:7">
      <c r="B161" s="64" t="s">
        <v>347</v>
      </c>
      <c r="C161" s="64" t="s">
        <v>165</v>
      </c>
      <c r="D161" s="72">
        <v>47</v>
      </c>
      <c r="E161" s="72">
        <v>33</v>
      </c>
      <c r="F161" s="72">
        <v>22</v>
      </c>
      <c r="G161" s="72">
        <v>17</v>
      </c>
    </row>
    <row r="162" spans="2:7">
      <c r="B162" s="64" t="s">
        <v>348</v>
      </c>
      <c r="C162" s="64" t="s">
        <v>165</v>
      </c>
      <c r="D162" s="72">
        <v>47</v>
      </c>
      <c r="E162" s="72">
        <v>33</v>
      </c>
      <c r="F162" s="72">
        <v>22</v>
      </c>
      <c r="G162" s="72">
        <v>17</v>
      </c>
    </row>
    <row r="163" spans="2:7">
      <c r="B163" s="64" t="s">
        <v>349</v>
      </c>
      <c r="C163" s="64" t="s">
        <v>165</v>
      </c>
      <c r="D163" s="72">
        <v>47</v>
      </c>
      <c r="E163" s="72">
        <v>33</v>
      </c>
      <c r="F163" s="72">
        <v>22</v>
      </c>
      <c r="G163" s="72">
        <v>17</v>
      </c>
    </row>
    <row r="164" spans="2:7">
      <c r="B164" s="64" t="s">
        <v>350</v>
      </c>
      <c r="C164" s="64" t="s">
        <v>165</v>
      </c>
      <c r="D164" s="72">
        <v>77</v>
      </c>
      <c r="E164" s="72">
        <v>57</v>
      </c>
      <c r="F164" s="72">
        <v>40</v>
      </c>
      <c r="G164" s="72">
        <v>32</v>
      </c>
    </row>
    <row r="165" spans="2:7">
      <c r="B165" s="64" t="s">
        <v>351</v>
      </c>
      <c r="C165" s="64" t="s">
        <v>165</v>
      </c>
      <c r="D165" s="72">
        <v>77</v>
      </c>
      <c r="E165" s="72">
        <v>57</v>
      </c>
      <c r="F165" s="72">
        <v>40</v>
      </c>
      <c r="G165" s="72">
        <v>32</v>
      </c>
    </row>
    <row r="166" spans="2:7">
      <c r="B166" s="64" t="s">
        <v>352</v>
      </c>
      <c r="C166" s="64" t="s">
        <v>165</v>
      </c>
      <c r="D166" s="72">
        <v>47</v>
      </c>
      <c r="E166" s="72">
        <v>33</v>
      </c>
      <c r="F166" s="72">
        <v>22</v>
      </c>
      <c r="G166" s="72">
        <v>17</v>
      </c>
    </row>
    <row r="167" spans="2:7">
      <c r="B167" s="64" t="s">
        <v>353</v>
      </c>
      <c r="C167" s="64" t="s">
        <v>165</v>
      </c>
      <c r="D167" s="72">
        <v>47</v>
      </c>
      <c r="E167" s="72">
        <v>33</v>
      </c>
      <c r="F167" s="72">
        <v>22</v>
      </c>
      <c r="G167" s="72">
        <v>17</v>
      </c>
    </row>
    <row r="168" spans="2:7">
      <c r="B168" s="64" t="s">
        <v>354</v>
      </c>
      <c r="C168" s="64" t="s">
        <v>165</v>
      </c>
      <c r="D168" s="72">
        <v>47</v>
      </c>
      <c r="E168" s="72">
        <v>33</v>
      </c>
      <c r="F168" s="72">
        <v>22</v>
      </c>
      <c r="G168" s="72">
        <v>17</v>
      </c>
    </row>
    <row r="169" spans="2:7">
      <c r="B169" s="64" t="s">
        <v>355</v>
      </c>
      <c r="C169" s="64" t="s">
        <v>165</v>
      </c>
      <c r="D169" s="72">
        <v>108</v>
      </c>
      <c r="E169" s="72">
        <v>80</v>
      </c>
      <c r="F169" s="72">
        <v>57</v>
      </c>
      <c r="G169" s="72">
        <v>45</v>
      </c>
    </row>
    <row r="170" spans="2:7">
      <c r="B170" s="64" t="s">
        <v>356</v>
      </c>
      <c r="C170" s="64" t="s">
        <v>165</v>
      </c>
      <c r="D170" s="72">
        <v>47</v>
      </c>
      <c r="E170" s="72">
        <v>33</v>
      </c>
      <c r="F170" s="72">
        <v>22</v>
      </c>
      <c r="G170" s="72">
        <v>17</v>
      </c>
    </row>
    <row r="171" spans="2:7">
      <c r="B171" s="64" t="s">
        <v>357</v>
      </c>
      <c r="C171" s="64" t="s">
        <v>165</v>
      </c>
      <c r="D171" s="72">
        <v>47</v>
      </c>
      <c r="E171" s="72">
        <v>33</v>
      </c>
      <c r="F171" s="72">
        <v>22</v>
      </c>
      <c r="G171" s="72">
        <v>17</v>
      </c>
    </row>
    <row r="172" spans="2:7">
      <c r="B172" s="64" t="s">
        <v>358</v>
      </c>
      <c r="C172" s="64" t="s">
        <v>165</v>
      </c>
      <c r="D172" s="72">
        <v>47</v>
      </c>
      <c r="E172" s="72">
        <v>33</v>
      </c>
      <c r="F172" s="72">
        <v>22</v>
      </c>
      <c r="G172" s="72">
        <v>17</v>
      </c>
    </row>
    <row r="173" spans="2:7">
      <c r="B173" s="64" t="s">
        <v>359</v>
      </c>
      <c r="C173" s="64" t="s">
        <v>165</v>
      </c>
      <c r="D173" s="72">
        <v>77</v>
      </c>
      <c r="E173" s="72">
        <v>57</v>
      </c>
      <c r="F173" s="72">
        <v>40</v>
      </c>
      <c r="G173" s="72">
        <v>32</v>
      </c>
    </row>
    <row r="174" spans="2:7">
      <c r="B174" s="64" t="s">
        <v>360</v>
      </c>
      <c r="C174" s="64" t="s">
        <v>165</v>
      </c>
      <c r="D174" s="72">
        <v>47</v>
      </c>
      <c r="E174" s="72">
        <v>33</v>
      </c>
      <c r="F174" s="72">
        <v>22</v>
      </c>
      <c r="G174" s="72">
        <v>17</v>
      </c>
    </row>
    <row r="175" spans="2:7">
      <c r="B175" s="64" t="s">
        <v>361</v>
      </c>
      <c r="C175" s="64" t="s">
        <v>165</v>
      </c>
      <c r="D175" s="72">
        <v>47</v>
      </c>
      <c r="E175" s="72">
        <v>33</v>
      </c>
      <c r="F175" s="72">
        <v>22</v>
      </c>
      <c r="G175" s="72">
        <v>17</v>
      </c>
    </row>
    <row r="176" spans="2:7">
      <c r="B176" s="64" t="s">
        <v>362</v>
      </c>
      <c r="C176" s="64" t="s">
        <v>165</v>
      </c>
      <c r="D176" s="72">
        <v>47</v>
      </c>
      <c r="E176" s="72">
        <v>33</v>
      </c>
      <c r="F176" s="72">
        <v>22</v>
      </c>
      <c r="G176" s="72">
        <v>17</v>
      </c>
    </row>
    <row r="177" spans="2:7">
      <c r="B177" s="64" t="s">
        <v>363</v>
      </c>
      <c r="C177" s="64" t="s">
        <v>165</v>
      </c>
      <c r="D177" s="72">
        <v>47</v>
      </c>
      <c r="E177" s="72">
        <v>33</v>
      </c>
      <c r="F177" s="72">
        <v>22</v>
      </c>
      <c r="G177" s="72">
        <v>17</v>
      </c>
    </row>
    <row r="178" spans="2:7">
      <c r="B178" s="64" t="s">
        <v>364</v>
      </c>
      <c r="C178" s="64" t="s">
        <v>165</v>
      </c>
      <c r="D178" s="72">
        <v>108</v>
      </c>
      <c r="E178" s="72">
        <v>80</v>
      </c>
      <c r="F178" s="72">
        <v>57</v>
      </c>
      <c r="G178" s="72">
        <v>45</v>
      </c>
    </row>
    <row r="179" spans="2:7">
      <c r="B179" s="64" t="s">
        <v>365</v>
      </c>
      <c r="C179" s="64" t="s">
        <v>165</v>
      </c>
      <c r="D179" s="72">
        <v>108</v>
      </c>
      <c r="E179" s="72">
        <v>80</v>
      </c>
      <c r="F179" s="72">
        <v>57</v>
      </c>
      <c r="G179" s="72">
        <v>45</v>
      </c>
    </row>
    <row r="180" spans="2:7">
      <c r="B180" s="64" t="s">
        <v>366</v>
      </c>
      <c r="C180" s="64" t="s">
        <v>165</v>
      </c>
      <c r="D180" s="72">
        <v>47</v>
      </c>
      <c r="E180" s="72">
        <v>33</v>
      </c>
      <c r="F180" s="72">
        <v>22</v>
      </c>
      <c r="G180" s="72">
        <v>17</v>
      </c>
    </row>
    <row r="181" spans="2:7">
      <c r="B181" s="64" t="s">
        <v>367</v>
      </c>
      <c r="C181" s="64" t="s">
        <v>165</v>
      </c>
      <c r="D181" s="72">
        <v>77</v>
      </c>
      <c r="E181" s="72">
        <v>57</v>
      </c>
      <c r="F181" s="72">
        <v>40</v>
      </c>
      <c r="G181" s="72">
        <v>32</v>
      </c>
    </row>
    <row r="182" spans="2:7">
      <c r="B182" s="64" t="s">
        <v>368</v>
      </c>
      <c r="C182" s="64" t="s">
        <v>165</v>
      </c>
      <c r="D182" s="72">
        <v>108</v>
      </c>
      <c r="E182" s="72">
        <v>80</v>
      </c>
      <c r="F182" s="72">
        <v>57</v>
      </c>
      <c r="G182" s="72">
        <v>45</v>
      </c>
    </row>
    <row r="183" spans="2:7">
      <c r="B183" s="64" t="s">
        <v>369</v>
      </c>
      <c r="C183" s="64" t="s">
        <v>165</v>
      </c>
      <c r="D183" s="72">
        <v>47</v>
      </c>
      <c r="E183" s="72">
        <v>33</v>
      </c>
      <c r="F183" s="72">
        <v>22</v>
      </c>
      <c r="G183" s="72">
        <v>17</v>
      </c>
    </row>
    <row r="184" spans="2:7">
      <c r="B184" s="64" t="s">
        <v>370</v>
      </c>
      <c r="C184" s="64" t="s">
        <v>165</v>
      </c>
      <c r="D184" s="72">
        <v>47</v>
      </c>
      <c r="E184" s="72">
        <v>33</v>
      </c>
      <c r="F184" s="72">
        <v>22</v>
      </c>
      <c r="G184" s="72">
        <v>17</v>
      </c>
    </row>
    <row r="185" spans="2:7">
      <c r="B185" s="64" t="s">
        <v>371</v>
      </c>
      <c r="C185" s="64" t="s">
        <v>165</v>
      </c>
      <c r="D185" s="72">
        <v>108</v>
      </c>
      <c r="E185" s="72">
        <v>80</v>
      </c>
      <c r="F185" s="72">
        <v>57</v>
      </c>
      <c r="G185" s="72">
        <v>45</v>
      </c>
    </row>
    <row r="186" spans="2:7">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Anastasija Mijaljevic</cp:lastModifiedBy>
  <cp:revision/>
  <dcterms:created xsi:type="dcterms:W3CDTF">2019-10-15T10:49:19Z</dcterms:created>
  <dcterms:modified xsi:type="dcterms:W3CDTF">2023-06-27T13:47:29Z</dcterms:modified>
  <cp:category/>
  <cp:contentStatus/>
</cp:coreProperties>
</file>