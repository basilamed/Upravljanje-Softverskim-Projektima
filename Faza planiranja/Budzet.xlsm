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filterPrivacy="1" showInkAnnotation="0" codeName="ThisWorkbook" defaultThemeVersion="124226"/>
  <workbookProtection lockStructure="1"/>
  <bookViews>
    <workbookView xWindow="0" yWindow="0" windowWidth="18000" windowHeight="9996" tabRatio="684" activeTab="2"/>
  </bookViews>
  <sheets>
    <sheet name="Overview" sheetId="41" r:id="rId1"/>
    <sheet name="Sheet Validation" sheetId="74" state="hidden" r:id="rId2"/>
    <sheet name="1. Staff costs" sheetId="40" r:id="rId3"/>
    <sheet name=" 2-3-6. Travel&amp;Costs of Stay" sheetId="39" r:id="rId4"/>
    <sheet name="4. Equipment Costs" sheetId="26" r:id="rId5"/>
    <sheet name="5. Subcontracting Costs" sheetId="70" r:id="rId6"/>
    <sheet name="Co-financing" sheetId="71" r:id="rId7"/>
    <sheet name="Breakdown &amp; Project Funding" sheetId="55" r:id="rId8"/>
    <sheet name="Unit Costs &amp; Funding Rule" sheetId="73" r:id="rId9"/>
  </sheets>
  <definedNames>
    <definedName name="_xlnm._FilterDatabase" localSheetId="8" hidden="1">'Unit Costs &amp; Funding Rule'!$B$7:$U$7</definedName>
    <definedName name="Category">'Unit Costs &amp; Funding Rule'!$D$7:$G$7</definedName>
    <definedName name="Category2">'Unit Costs &amp; Funding Rule'!$P$17:$P$18</definedName>
    <definedName name="CountryALL">'Unit Costs &amp; Funding Rule'!$B$8:$B$186</definedName>
    <definedName name="CountryEligEquip">'Unit Costs &amp; Funding Rule'!$B$42:$B$186</definedName>
    <definedName name="CountryType">'Unit Costs &amp; Funding Rule'!$B$8:$C$186</definedName>
    <definedName name="EUCountry">'Unit Costs &amp; Funding Rule'!$B$8:$B$41</definedName>
    <definedName name="Exceptional_costs">'Unit Costs &amp; Funding Rule'!$P$21:$P$21</definedName>
    <definedName name="PartnerN°">Overview!$B$27:$B$81</definedName>
    <definedName name="PartnerN°Ref">Overview!$B$27:$E$81</definedName>
    <definedName name="_xlnm.Print_Area" localSheetId="3">' 2-3-6. Travel&amp;Costs of Stay'!$A$1:$S$47</definedName>
    <definedName name="_xlnm.Print_Area" localSheetId="2">'1. Staff costs'!$A$1:$U$66</definedName>
    <definedName name="_xlnm.Print_Area" localSheetId="4">'4. Equipment Costs'!$A$1:$J$17</definedName>
    <definedName name="_xlnm.Print_Area" localSheetId="5">'5. Subcontracting Costs'!$A$1:$J$18</definedName>
    <definedName name="_xlnm.Print_Area" localSheetId="7">'Breakdown &amp; Project Funding'!$A$1:$J$78</definedName>
    <definedName name="_xlnm.Print_Area" localSheetId="6">'Co-financing'!$A$1:$K$22</definedName>
    <definedName name="_xlnm.Print_Area" localSheetId="0">Overview!$A$1:$M$82</definedName>
    <definedName name="_xlnm.Print_Area" localSheetId="1">'Sheet Validation'!$A$1:$B$7</definedName>
    <definedName name="_xlnm.Print_Area" localSheetId="8">'Unit Costs &amp; Funding Rule'!$B$1:$U$188</definedName>
    <definedName name="_xlnm.Print_Titles" localSheetId="3">' 2-3-6. Travel&amp;Costs of Stay'!$11:$12</definedName>
    <definedName name="_xlnm.Print_Titles" localSheetId="4">'4. Equipment Costs'!$11:$12</definedName>
    <definedName name="_xlnm.Print_Titles" localSheetId="5">'5. Subcontracting Costs'!$11:$12</definedName>
    <definedName name="_xlnm.Print_Titles" localSheetId="7">'Breakdown &amp; Project Funding'!$4:$4</definedName>
    <definedName name="_xlnm.Print_Titles" localSheetId="6">'Co-financing'!$11:$12</definedName>
    <definedName name="Rates">'Unit Costs &amp; Funding Rule'!$D$8:$G$186</definedName>
    <definedName name="TravelBands">'Unit Costs &amp; Funding Rule'!$I$8:$I$15</definedName>
    <definedName name="TravelCosts">'Unit Costs &amp; Funding Rule'!$I$8:$J$15</definedName>
    <definedName name="WorkPackage">'Unit Costs &amp; Funding Rule'!$P$10:$P$14</definedName>
    <definedName name="Z_D7932BCF_3472_4742_BE90_75070A4D3346_.wvu.Cols" localSheetId="3" hidden="1">' 2-3-6. Travel&amp;Costs of Stay'!$S:$XFD</definedName>
    <definedName name="Z_D7932BCF_3472_4742_BE90_75070A4D3346_.wvu.Cols" localSheetId="2" hidden="1">'1. Staff costs'!$T:$XFD</definedName>
    <definedName name="Z_D7932BCF_3472_4742_BE90_75070A4D3346_.wvu.Cols" localSheetId="4" hidden="1">'4. Equipment Costs'!$I:$XFD</definedName>
    <definedName name="Z_D7932BCF_3472_4742_BE90_75070A4D3346_.wvu.Cols" localSheetId="5" hidden="1">'5. Subcontracting Costs'!$J:$XFD</definedName>
    <definedName name="Z_D7932BCF_3472_4742_BE90_75070A4D3346_.wvu.Cols" localSheetId="7" hidden="1">'Breakdown &amp; Project Funding'!$J:$XFD</definedName>
    <definedName name="Z_D7932BCF_3472_4742_BE90_75070A4D3346_.wvu.Cols" localSheetId="6" hidden="1">'Co-financing'!$K:$XFD</definedName>
    <definedName name="Z_D7932BCF_3472_4742_BE90_75070A4D3346_.wvu.Rows" localSheetId="3" hidden="1">' 2-3-6. Travel&amp;Costs of Stay'!$47:$1048576,' 2-3-6. Travel&amp;Costs of Stay'!#REF!</definedName>
    <definedName name="Z_D7932BCF_3472_4742_BE90_75070A4D3346_.wvu.Rows" localSheetId="2" hidden="1">'1. Staff costs'!$66:$1048576,'1. Staff costs'!#REF!</definedName>
    <definedName name="Z_D7932BCF_3472_4742_BE90_75070A4D3346_.wvu.Rows" localSheetId="4" hidden="1">'4. Equipment Costs'!$17:$1048576,'4. Equipment Costs'!#REF!</definedName>
    <definedName name="Z_D7932BCF_3472_4742_BE90_75070A4D3346_.wvu.Rows" localSheetId="5" hidden="1">'5. Subcontracting Costs'!$18:$1048576,'5. Subcontracting Costs'!#REF!</definedName>
    <definedName name="Z_D7932BCF_3472_4742_BE90_75070A4D3346_.wvu.Rows" localSheetId="7" hidden="1">'Breakdown &amp; Project Funding'!$11:$1048576,'Breakdown &amp; Project Funding'!#REF!</definedName>
    <definedName name="Z_D7932BCF_3472_4742_BE90_75070A4D3346_.wvu.Rows" localSheetId="6" hidden="1">'Co-financing'!$18:$1048576,'Co-financing'!#REF!</definedName>
  </definedNames>
  <calcPr calcId="162913"/>
  <customWorkbookViews>
    <customWorkbookView name="test" guid="{D7932BCF-3472-4742-BE90-75070A4D3346}" maximized="1" windowWidth="1916" windowHeight="775" tabRatio="795" activeSheetId="24"/>
  </customWorkbookViews>
</workbook>
</file>

<file path=xl/calcChain.xml><?xml version="1.0" encoding="utf-8"?>
<calcChain xmlns="http://schemas.openxmlformats.org/spreadsheetml/2006/main">
  <c r="N46" i="39" l="1"/>
  <c r="D46" i="39"/>
  <c r="N45" i="39"/>
  <c r="D45" i="39"/>
  <c r="N44" i="39"/>
  <c r="D44" i="39"/>
  <c r="N43" i="39"/>
  <c r="D43" i="39"/>
  <c r="N42" i="39"/>
  <c r="D42" i="39"/>
  <c r="N41" i="39"/>
  <c r="D41" i="39"/>
  <c r="N40" i="39"/>
  <c r="D40" i="39"/>
  <c r="N39" i="39"/>
  <c r="D39" i="39"/>
  <c r="N38" i="39"/>
  <c r="D38" i="39"/>
  <c r="N37" i="39"/>
  <c r="D37" i="39"/>
  <c r="C17" i="71" l="1"/>
  <c r="C16" i="71"/>
  <c r="C15" i="71"/>
  <c r="D17" i="70"/>
  <c r="D16" i="70"/>
  <c r="D15" i="70"/>
  <c r="D16" i="26"/>
  <c r="D15" i="26"/>
  <c r="D65" i="40" l="1"/>
  <c r="D53" i="40"/>
  <c r="D50" i="40"/>
  <c r="D38" i="40"/>
  <c r="D25" i="40"/>
  <c r="N36" i="39" l="1"/>
  <c r="D36" i="39"/>
  <c r="N35" i="39"/>
  <c r="D35" i="39"/>
  <c r="N34" i="39"/>
  <c r="D34" i="39"/>
  <c r="N33" i="39"/>
  <c r="D33" i="39"/>
  <c r="N32" i="39"/>
  <c r="D32" i="39"/>
  <c r="N31" i="39"/>
  <c r="D31" i="39"/>
  <c r="N30" i="39"/>
  <c r="D30" i="39"/>
  <c r="N29" i="39" l="1"/>
  <c r="D29" i="39"/>
  <c r="N28" i="39"/>
  <c r="D28" i="39"/>
  <c r="N27" i="39"/>
  <c r="D27" i="39"/>
  <c r="N26" i="39"/>
  <c r="D26" i="39"/>
  <c r="N25" i="39"/>
  <c r="D25" i="39"/>
  <c r="N24" i="39"/>
  <c r="D24" i="39"/>
  <c r="N23" i="39"/>
  <c r="D23" i="39"/>
  <c r="N22" i="39"/>
  <c r="D22" i="39"/>
  <c r="N21" i="39"/>
  <c r="D21" i="39"/>
  <c r="N20" i="39"/>
  <c r="D20" i="39"/>
  <c r="N19" i="39"/>
  <c r="D19" i="39"/>
  <c r="N18" i="39"/>
  <c r="D18" i="39"/>
  <c r="N17" i="39"/>
  <c r="D17" i="39"/>
  <c r="N16" i="39"/>
  <c r="D16" i="39"/>
  <c r="N15" i="39"/>
  <c r="D15" i="39"/>
  <c r="D64" i="40" l="1"/>
  <c r="D63" i="40"/>
  <c r="D62" i="40"/>
  <c r="D61" i="40"/>
  <c r="D60" i="40"/>
  <c r="D59" i="40"/>
  <c r="D58" i="40"/>
  <c r="D57" i="40"/>
  <c r="D56" i="40"/>
  <c r="D55" i="40"/>
  <c r="D54" i="40"/>
  <c r="D52" i="40"/>
  <c r="D51" i="40"/>
  <c r="D49" i="40"/>
  <c r="D48" i="40"/>
  <c r="D47" i="40"/>
  <c r="D46" i="40"/>
  <c r="D45" i="40"/>
  <c r="D44" i="40"/>
  <c r="D43" i="40"/>
  <c r="D42" i="40"/>
  <c r="D41" i="40"/>
  <c r="D40" i="40"/>
  <c r="D39" i="40"/>
  <c r="D37" i="40"/>
  <c r="D36" i="40"/>
  <c r="D35" i="40"/>
  <c r="D34" i="40"/>
  <c r="D33" i="40"/>
  <c r="D32" i="40"/>
  <c r="D31" i="40"/>
  <c r="D30" i="40"/>
  <c r="D29" i="40"/>
  <c r="D28" i="40"/>
  <c r="D27" i="40"/>
  <c r="D26" i="40"/>
  <c r="D24" i="40"/>
  <c r="D23" i="40"/>
  <c r="D22" i="40"/>
  <c r="D21" i="40"/>
  <c r="D20" i="40"/>
  <c r="D19" i="40"/>
  <c r="D18" i="40"/>
  <c r="D17" i="40"/>
  <c r="D16" i="40"/>
  <c r="D15" i="40"/>
  <c r="N13" i="39" l="1"/>
  <c r="N14" i="39"/>
  <c r="L41" i="41" l="1"/>
  <c r="L42" i="41"/>
  <c r="L43" i="41"/>
  <c r="L44" i="41"/>
  <c r="L45" i="41"/>
  <c r="L46" i="41"/>
  <c r="L47" i="41"/>
  <c r="L48" i="41"/>
  <c r="L49" i="41"/>
  <c r="L50" i="41"/>
  <c r="L51" i="41"/>
  <c r="L52" i="41"/>
  <c r="L53" i="41"/>
  <c r="L54" i="41"/>
  <c r="L55" i="41"/>
  <c r="L56" i="41"/>
  <c r="L57" i="41"/>
  <c r="L58" i="41"/>
  <c r="L59" i="41"/>
  <c r="L60" i="41"/>
  <c r="L61" i="41"/>
  <c r="L62" i="41"/>
  <c r="L63" i="41"/>
  <c r="L64" i="41"/>
  <c r="L65" i="41"/>
  <c r="L66" i="41"/>
  <c r="L67" i="41"/>
  <c r="L68" i="41"/>
  <c r="L69" i="41"/>
  <c r="L70" i="41"/>
  <c r="L71" i="41"/>
  <c r="L72" i="41"/>
  <c r="L73" i="41"/>
  <c r="L74" i="41"/>
  <c r="L75" i="41"/>
  <c r="L76" i="41"/>
  <c r="L77" i="41"/>
  <c r="L78" i="41"/>
  <c r="L79" i="41"/>
  <c r="L80" i="41"/>
  <c r="L81"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G40" i="41"/>
  <c r="G41" i="41"/>
  <c r="G42" i="41"/>
  <c r="G43" i="41"/>
  <c r="G44" i="41"/>
  <c r="G45" i="41"/>
  <c r="G46" i="41"/>
  <c r="G47" i="41"/>
  <c r="G48" i="41"/>
  <c r="G49" i="41"/>
  <c r="G50" i="41"/>
  <c r="G51" i="41"/>
  <c r="G52" i="41"/>
  <c r="G53" i="41"/>
  <c r="G54" i="41"/>
  <c r="G55" i="41"/>
  <c r="G56" i="41"/>
  <c r="G57" i="41"/>
  <c r="G58" i="41"/>
  <c r="G59" i="41"/>
  <c r="G60" i="41"/>
  <c r="G61" i="41"/>
  <c r="G62" i="41"/>
  <c r="G63" i="41"/>
  <c r="G64" i="41"/>
  <c r="G65" i="41"/>
  <c r="G66" i="41"/>
  <c r="G67" i="41"/>
  <c r="G68" i="41"/>
  <c r="G69" i="41"/>
  <c r="G70" i="41"/>
  <c r="G71" i="41"/>
  <c r="G72" i="41"/>
  <c r="G73" i="41"/>
  <c r="G74" i="41"/>
  <c r="G75" i="41"/>
  <c r="G76" i="41"/>
  <c r="G77" i="41"/>
  <c r="G78" i="41"/>
  <c r="G79" i="41"/>
  <c r="G80" i="41"/>
  <c r="G81" i="41"/>
  <c r="E21" i="41" l="1"/>
  <c r="E20" i="41"/>
  <c r="E17" i="41"/>
  <c r="B6" i="55" l="1"/>
  <c r="H6" i="55" s="1"/>
  <c r="B7" i="55"/>
  <c r="H7" i="55" s="1"/>
  <c r="B8" i="55"/>
  <c r="H8" i="55" s="1"/>
  <c r="B9" i="55"/>
  <c r="H9" i="55" s="1"/>
  <c r="B5" i="55"/>
  <c r="G21" i="55"/>
  <c r="F21" i="55"/>
  <c r="E21" i="55"/>
  <c r="D21" i="55"/>
  <c r="C21" i="55"/>
  <c r="O11" i="40" l="1"/>
  <c r="L11" i="40"/>
  <c r="I11" i="40"/>
  <c r="F11" i="40"/>
  <c r="G6" i="55" l="1"/>
  <c r="N69" i="73"/>
  <c r="N70" i="73"/>
  <c r="N71" i="73"/>
  <c r="N72" i="73"/>
  <c r="N73" i="73"/>
  <c r="N74" i="73"/>
  <c r="N75" i="73"/>
  <c r="N76" i="73"/>
  <c r="N77" i="73"/>
  <c r="N78" i="73"/>
  <c r="N79" i="73"/>
  <c r="N80" i="73"/>
  <c r="N81" i="73"/>
  <c r="N82" i="73"/>
  <c r="N83" i="73"/>
  <c r="N84" i="73"/>
  <c r="N85" i="73"/>
  <c r="N86" i="73"/>
  <c r="N87" i="73"/>
  <c r="N88" i="73"/>
  <c r="N89" i="73"/>
  <c r="N90" i="73"/>
  <c r="N91" i="73"/>
  <c r="N92" i="73"/>
  <c r="N93" i="73"/>
  <c r="N94" i="73"/>
  <c r="N95" i="73"/>
  <c r="N96" i="73"/>
  <c r="N97" i="73"/>
  <c r="N68" i="73"/>
  <c r="N23" i="73"/>
  <c r="N24" i="73"/>
  <c r="N25" i="73"/>
  <c r="N26" i="73"/>
  <c r="N27" i="73"/>
  <c r="N28" i="73"/>
  <c r="N29" i="73"/>
  <c r="N30" i="73"/>
  <c r="N31" i="73"/>
  <c r="N32" i="73"/>
  <c r="N33" i="73"/>
  <c r="N34" i="73"/>
  <c r="N35" i="73"/>
  <c r="N36" i="73"/>
  <c r="N37" i="73"/>
  <c r="N38" i="73"/>
  <c r="N39" i="73"/>
  <c r="N40" i="73"/>
  <c r="N41" i="73"/>
  <c r="N42" i="73"/>
  <c r="N43" i="73"/>
  <c r="N44" i="73"/>
  <c r="N45" i="73"/>
  <c r="N46" i="73"/>
  <c r="N47" i="73"/>
  <c r="N48" i="73"/>
  <c r="N49" i="73"/>
  <c r="N50" i="73"/>
  <c r="N51" i="73"/>
  <c r="N52" i="73"/>
  <c r="N53" i="73"/>
  <c r="N54" i="73"/>
  <c r="N55" i="73"/>
  <c r="N56" i="73"/>
  <c r="N57" i="73"/>
  <c r="N58" i="73"/>
  <c r="N59" i="73"/>
  <c r="N60" i="73"/>
  <c r="N61" i="73"/>
  <c r="N62" i="73"/>
  <c r="N63" i="73"/>
  <c r="N64" i="73"/>
  <c r="N65" i="73"/>
  <c r="N66" i="73"/>
  <c r="N67" i="73"/>
  <c r="N22" i="73"/>
  <c r="N9" i="73"/>
  <c r="N10" i="73"/>
  <c r="N11" i="73"/>
  <c r="N12" i="73"/>
  <c r="N13" i="73"/>
  <c r="N14" i="73"/>
  <c r="N15" i="73"/>
  <c r="N16" i="73"/>
  <c r="N17" i="73"/>
  <c r="N18" i="73"/>
  <c r="N19" i="73"/>
  <c r="N20" i="73"/>
  <c r="N21" i="73"/>
  <c r="N8" i="73"/>
  <c r="M23" i="73"/>
  <c r="M24" i="73"/>
  <c r="M25" i="73"/>
  <c r="M26" i="73"/>
  <c r="M27" i="73"/>
  <c r="M28" i="73"/>
  <c r="M29" i="73"/>
  <c r="M30" i="73"/>
  <c r="M31" i="73"/>
  <c r="M32" i="73"/>
  <c r="M33" i="73"/>
  <c r="M34" i="73"/>
  <c r="M35" i="73"/>
  <c r="M36" i="73"/>
  <c r="M37" i="73"/>
  <c r="M38" i="73"/>
  <c r="M39" i="73"/>
  <c r="M40" i="73"/>
  <c r="M41" i="73"/>
  <c r="M42" i="73"/>
  <c r="M43" i="73"/>
  <c r="M44" i="73"/>
  <c r="M45" i="73"/>
  <c r="M46" i="73"/>
  <c r="M47" i="73"/>
  <c r="M48" i="73"/>
  <c r="M49" i="73"/>
  <c r="M50" i="73"/>
  <c r="M51" i="73"/>
  <c r="M52" i="73"/>
  <c r="M53" i="73"/>
  <c r="M54" i="73"/>
  <c r="M55" i="73"/>
  <c r="M56" i="73"/>
  <c r="M57" i="73"/>
  <c r="M58" i="73"/>
  <c r="M59" i="73"/>
  <c r="M60" i="73"/>
  <c r="M61" i="73"/>
  <c r="M62" i="73"/>
  <c r="M63" i="73"/>
  <c r="M64" i="73"/>
  <c r="M65" i="73"/>
  <c r="M66" i="73"/>
  <c r="M67" i="73"/>
  <c r="M68" i="73"/>
  <c r="M69" i="73"/>
  <c r="M70" i="73"/>
  <c r="M71" i="73"/>
  <c r="M72" i="73"/>
  <c r="M73" i="73"/>
  <c r="M74" i="73"/>
  <c r="M75" i="73"/>
  <c r="M76" i="73"/>
  <c r="M77" i="73"/>
  <c r="M78" i="73"/>
  <c r="M79" i="73"/>
  <c r="M80" i="73"/>
  <c r="M81" i="73"/>
  <c r="M82" i="73"/>
  <c r="M83" i="73"/>
  <c r="M84" i="73"/>
  <c r="M85" i="73"/>
  <c r="M86" i="73"/>
  <c r="M87" i="73"/>
  <c r="M88" i="73"/>
  <c r="M89" i="73"/>
  <c r="M90" i="73"/>
  <c r="M91" i="73"/>
  <c r="M92" i="73"/>
  <c r="M93" i="73"/>
  <c r="M94" i="73"/>
  <c r="M95" i="73"/>
  <c r="M96" i="73"/>
  <c r="M97" i="73"/>
  <c r="M22" i="73"/>
  <c r="M9" i="73"/>
  <c r="M10" i="73"/>
  <c r="M11" i="73"/>
  <c r="M12" i="73"/>
  <c r="M13" i="73"/>
  <c r="M14" i="73"/>
  <c r="M15" i="73"/>
  <c r="M16" i="73"/>
  <c r="M17" i="73"/>
  <c r="M18" i="73"/>
  <c r="M19" i="73"/>
  <c r="M20" i="73"/>
  <c r="M21" i="73"/>
  <c r="M8" i="73"/>
  <c r="H40" i="41"/>
  <c r="H41" i="41"/>
  <c r="H42" i="41"/>
  <c r="H43" i="41"/>
  <c r="H44" i="41"/>
  <c r="H45" i="41"/>
  <c r="H46" i="41"/>
  <c r="H47" i="41"/>
  <c r="H48" i="41"/>
  <c r="H49" i="41"/>
  <c r="H50" i="41"/>
  <c r="H51" i="41"/>
  <c r="H52" i="41"/>
  <c r="H53" i="41"/>
  <c r="H54" i="41"/>
  <c r="H55" i="41"/>
  <c r="H56" i="41"/>
  <c r="H57" i="41"/>
  <c r="H58" i="41"/>
  <c r="H59" i="41"/>
  <c r="H60" i="41"/>
  <c r="H61" i="41"/>
  <c r="H62" i="41"/>
  <c r="H63" i="41"/>
  <c r="H64" i="41"/>
  <c r="H65" i="41"/>
  <c r="H66" i="41"/>
  <c r="H67" i="41"/>
  <c r="H68" i="41"/>
  <c r="H69" i="41"/>
  <c r="H70" i="41"/>
  <c r="H71" i="41"/>
  <c r="H72" i="41"/>
  <c r="H73" i="41"/>
  <c r="H74" i="41"/>
  <c r="H75" i="41"/>
  <c r="H76" i="41"/>
  <c r="H77" i="41"/>
  <c r="H78" i="41"/>
  <c r="H79" i="41"/>
  <c r="H80" i="41"/>
  <c r="H81" i="41"/>
  <c r="F41" i="41"/>
  <c r="F42" i="41"/>
  <c r="F43" i="41"/>
  <c r="F44" i="41"/>
  <c r="F45" i="41"/>
  <c r="F46" i="41"/>
  <c r="F47" i="41"/>
  <c r="F48" i="41"/>
  <c r="F49" i="41"/>
  <c r="F50" i="41"/>
  <c r="F51" i="41"/>
  <c r="F52" i="41"/>
  <c r="F53" i="41"/>
  <c r="F54" i="41"/>
  <c r="F55" i="41"/>
  <c r="F56" i="41"/>
  <c r="F57" i="41"/>
  <c r="F58" i="41"/>
  <c r="F59" i="41"/>
  <c r="F60" i="41"/>
  <c r="F61" i="41"/>
  <c r="F62" i="41"/>
  <c r="F63" i="41"/>
  <c r="F64" i="41"/>
  <c r="F65" i="41"/>
  <c r="F66" i="41"/>
  <c r="F67" i="41"/>
  <c r="F68" i="41"/>
  <c r="F69" i="41"/>
  <c r="F70" i="41"/>
  <c r="F71" i="41"/>
  <c r="F72" i="41"/>
  <c r="F73" i="41"/>
  <c r="F74" i="41"/>
  <c r="F75" i="41"/>
  <c r="F76" i="41"/>
  <c r="F77" i="41"/>
  <c r="F78" i="41"/>
  <c r="F79" i="41"/>
  <c r="F80" i="41"/>
  <c r="F81" i="41"/>
  <c r="E28" i="41"/>
  <c r="E35" i="39" s="1"/>
  <c r="R35" i="39" s="1"/>
  <c r="E29" i="41"/>
  <c r="E30" i="41"/>
  <c r="E39" i="39" s="1"/>
  <c r="R39" i="39" s="1"/>
  <c r="E31" i="41"/>
  <c r="E32" i="41"/>
  <c r="E33" i="41"/>
  <c r="E34" i="39" s="1"/>
  <c r="R34" i="39" s="1"/>
  <c r="E34" i="41"/>
  <c r="E35" i="41"/>
  <c r="E36" i="41"/>
  <c r="E37" i="41"/>
  <c r="E40" i="39" s="1"/>
  <c r="R40" i="39" s="1"/>
  <c r="E38" i="41"/>
  <c r="E38" i="39" s="1"/>
  <c r="R38" i="39" s="1"/>
  <c r="E39" i="41"/>
  <c r="E36" i="39" s="1"/>
  <c r="R36" i="39" s="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27" i="41"/>
  <c r="D14" i="71"/>
  <c r="D13" i="71"/>
  <c r="C14" i="71"/>
  <c r="C13" i="71"/>
  <c r="E14" i="70"/>
  <c r="E13" i="70"/>
  <c r="D14" i="70"/>
  <c r="D13" i="70"/>
  <c r="E14" i="26"/>
  <c r="E13" i="26"/>
  <c r="D14" i="26"/>
  <c r="D13" i="26"/>
  <c r="E13" i="39"/>
  <c r="D14" i="39"/>
  <c r="D13" i="39"/>
  <c r="E13" i="40"/>
  <c r="D14" i="40"/>
  <c r="D13" i="40"/>
  <c r="E12" i="41"/>
  <c r="E11" i="41"/>
  <c r="E23" i="41"/>
  <c r="G7" i="55"/>
  <c r="F9" i="55"/>
  <c r="E13" i="41"/>
  <c r="F7" i="55"/>
  <c r="E30" i="39" l="1"/>
  <c r="R30" i="39" s="1"/>
  <c r="E44" i="39"/>
  <c r="R44" i="39" s="1"/>
  <c r="E16" i="26"/>
  <c r="I16" i="26" s="1"/>
  <c r="H16" i="26" s="1"/>
  <c r="E15" i="26"/>
  <c r="I15" i="26" s="1"/>
  <c r="H15" i="26" s="1"/>
  <c r="E32" i="39"/>
  <c r="R32" i="39" s="1"/>
  <c r="E42" i="39"/>
  <c r="R42" i="39" s="1"/>
  <c r="E45" i="39"/>
  <c r="R45" i="39" s="1"/>
  <c r="D17" i="71"/>
  <c r="J17" i="71" s="1"/>
  <c r="I17" i="71" s="1"/>
  <c r="E17" i="70"/>
  <c r="I17" i="70" s="1"/>
  <c r="H17" i="70" s="1"/>
  <c r="G9" i="55" s="1"/>
  <c r="E65" i="40"/>
  <c r="T65" i="40" s="1"/>
  <c r="E25" i="40"/>
  <c r="T25" i="40" s="1"/>
  <c r="E53" i="40"/>
  <c r="T53" i="40" s="1"/>
  <c r="E38" i="40"/>
  <c r="T38" i="40" s="1"/>
  <c r="E50" i="40"/>
  <c r="T50" i="40" s="1"/>
  <c r="E31" i="39"/>
  <c r="R31" i="39" s="1"/>
  <c r="P31" i="39" s="1"/>
  <c r="E43" i="39"/>
  <c r="R43" i="39" s="1"/>
  <c r="D16" i="71"/>
  <c r="J16" i="71" s="1"/>
  <c r="I16" i="71" s="1"/>
  <c r="P38" i="39"/>
  <c r="H38" i="41" s="1"/>
  <c r="O38" i="39"/>
  <c r="E41" i="39"/>
  <c r="R41" i="39" s="1"/>
  <c r="E16" i="70"/>
  <c r="I16" i="70" s="1"/>
  <c r="H16" i="70" s="1"/>
  <c r="E15" i="70"/>
  <c r="I15" i="70" s="1"/>
  <c r="H15" i="70" s="1"/>
  <c r="P39" i="39"/>
  <c r="O39" i="39"/>
  <c r="Q39" i="39" s="1"/>
  <c r="P40" i="39"/>
  <c r="O40" i="39"/>
  <c r="E46" i="39"/>
  <c r="R46" i="39" s="1"/>
  <c r="E37" i="39"/>
  <c r="R37" i="39" s="1"/>
  <c r="D15" i="71"/>
  <c r="J15" i="71" s="1"/>
  <c r="I15" i="71" s="1"/>
  <c r="E14" i="39"/>
  <c r="E33" i="39"/>
  <c r="R33" i="39" s="1"/>
  <c r="P35" i="39"/>
  <c r="O35" i="39"/>
  <c r="P32" i="39"/>
  <c r="O32" i="39"/>
  <c r="P36" i="39"/>
  <c r="O36" i="39"/>
  <c r="E14" i="40"/>
  <c r="T14" i="40" s="1"/>
  <c r="M14" i="40" s="1"/>
  <c r="N14" i="40" s="1"/>
  <c r="P30" i="39"/>
  <c r="O30" i="39"/>
  <c r="P34" i="39"/>
  <c r="O34" i="39"/>
  <c r="E61" i="40"/>
  <c r="T61" i="40" s="1"/>
  <c r="E46" i="40"/>
  <c r="T46" i="40" s="1"/>
  <c r="E52" i="40"/>
  <c r="T52" i="40" s="1"/>
  <c r="E24" i="39"/>
  <c r="R24" i="39" s="1"/>
  <c r="E23" i="39"/>
  <c r="R23" i="39" s="1"/>
  <c r="E59" i="40"/>
  <c r="T59" i="40" s="1"/>
  <c r="E44" i="40"/>
  <c r="T44" i="40" s="1"/>
  <c r="E63" i="40"/>
  <c r="T63" i="40" s="1"/>
  <c r="E48" i="40"/>
  <c r="T48" i="40" s="1"/>
  <c r="E51" i="40"/>
  <c r="T51" i="40" s="1"/>
  <c r="E17" i="39"/>
  <c r="R17" i="39" s="1"/>
  <c r="E56" i="40"/>
  <c r="T56" i="40" s="1"/>
  <c r="E41" i="40"/>
  <c r="T41" i="40" s="1"/>
  <c r="E28" i="39"/>
  <c r="R28" i="39" s="1"/>
  <c r="E19" i="39"/>
  <c r="R19" i="39" s="1"/>
  <c r="E60" i="40"/>
  <c r="T60" i="40" s="1"/>
  <c r="E45" i="40"/>
  <c r="T45" i="40" s="1"/>
  <c r="E26" i="40"/>
  <c r="T26" i="40" s="1"/>
  <c r="J26" i="40" s="1"/>
  <c r="K26" i="40" s="1"/>
  <c r="E15" i="39"/>
  <c r="R15" i="39" s="1"/>
  <c r="E54" i="40"/>
  <c r="T54" i="40" s="1"/>
  <c r="E39" i="40"/>
  <c r="T39" i="40" s="1"/>
  <c r="E24" i="40"/>
  <c r="T24" i="40" s="1"/>
  <c r="M24" i="40" s="1"/>
  <c r="N24" i="40" s="1"/>
  <c r="E49" i="40"/>
  <c r="T49" i="40" s="1"/>
  <c r="E64" i="40"/>
  <c r="T64" i="40" s="1"/>
  <c r="E62" i="40"/>
  <c r="T62" i="40" s="1"/>
  <c r="E47" i="40"/>
  <c r="T47" i="40" s="1"/>
  <c r="E27" i="39"/>
  <c r="R27" i="39" s="1"/>
  <c r="E20" i="39"/>
  <c r="R20" i="39" s="1"/>
  <c r="E57" i="40"/>
  <c r="T57" i="40" s="1"/>
  <c r="E42" i="40"/>
  <c r="T42" i="40" s="1"/>
  <c r="E29" i="39"/>
  <c r="R29" i="39" s="1"/>
  <c r="E18" i="39"/>
  <c r="R18" i="39" s="1"/>
  <c r="E43" i="40"/>
  <c r="T43" i="40" s="1"/>
  <c r="E58" i="40"/>
  <c r="T58" i="40" s="1"/>
  <c r="E37" i="40"/>
  <c r="T37" i="40" s="1"/>
  <c r="R37" i="40" s="1"/>
  <c r="E16" i="39"/>
  <c r="R16" i="39" s="1"/>
  <c r="E25" i="39"/>
  <c r="R25" i="39" s="1"/>
  <c r="E22" i="39"/>
  <c r="R22" i="39" s="1"/>
  <c r="E55" i="40"/>
  <c r="T55" i="40" s="1"/>
  <c r="E40" i="40"/>
  <c r="T40" i="40" s="1"/>
  <c r="E35" i="40"/>
  <c r="T35" i="40" s="1"/>
  <c r="G35" i="40" s="1"/>
  <c r="E21" i="39"/>
  <c r="R21" i="39" s="1"/>
  <c r="E26" i="39"/>
  <c r="R26" i="39" s="1"/>
  <c r="E36" i="40"/>
  <c r="T36" i="40" s="1"/>
  <c r="E23" i="40"/>
  <c r="T23" i="40" s="1"/>
  <c r="E29" i="40"/>
  <c r="T29" i="40" s="1"/>
  <c r="E17" i="40"/>
  <c r="T17" i="40" s="1"/>
  <c r="E33" i="40"/>
  <c r="T33" i="40" s="1"/>
  <c r="E21" i="40"/>
  <c r="T21" i="40" s="1"/>
  <c r="E30" i="40"/>
  <c r="T30" i="40" s="1"/>
  <c r="E18" i="40"/>
  <c r="T18" i="40" s="1"/>
  <c r="E31" i="40"/>
  <c r="T31" i="40" s="1"/>
  <c r="E19" i="40"/>
  <c r="T19" i="40" s="1"/>
  <c r="E28" i="40"/>
  <c r="T28" i="40" s="1"/>
  <c r="E16" i="40"/>
  <c r="T16" i="40" s="1"/>
  <c r="E27" i="40"/>
  <c r="T27" i="40" s="1"/>
  <c r="E15" i="40"/>
  <c r="T15" i="40" s="1"/>
  <c r="E34" i="40"/>
  <c r="T34" i="40" s="1"/>
  <c r="E22" i="40"/>
  <c r="T22" i="40" s="1"/>
  <c r="E32" i="40"/>
  <c r="T32" i="40" s="1"/>
  <c r="E20" i="40"/>
  <c r="T20" i="40" s="1"/>
  <c r="R13" i="39"/>
  <c r="P13" i="39" s="1"/>
  <c r="H16" i="55"/>
  <c r="J13" i="71"/>
  <c r="I13" i="71" s="1"/>
  <c r="I13" i="26"/>
  <c r="I13" i="70"/>
  <c r="F8" i="55"/>
  <c r="I14" i="26"/>
  <c r="H14" i="26" s="1"/>
  <c r="I14" i="70"/>
  <c r="H14" i="70" s="1"/>
  <c r="J14" i="71"/>
  <c r="T13" i="40"/>
  <c r="P43" i="39" l="1"/>
  <c r="O43" i="39"/>
  <c r="P45" i="39"/>
  <c r="O45" i="39"/>
  <c r="Q45" i="39" s="1"/>
  <c r="R50" i="40"/>
  <c r="P50" i="40"/>
  <c r="Q50" i="40" s="1"/>
  <c r="M50" i="40"/>
  <c r="N50" i="40" s="1"/>
  <c r="G50" i="40"/>
  <c r="H50" i="40" s="1"/>
  <c r="S50" i="40" s="1"/>
  <c r="J50" i="40"/>
  <c r="K50" i="40" s="1"/>
  <c r="P42" i="39"/>
  <c r="O42" i="39"/>
  <c r="Q42" i="39" s="1"/>
  <c r="R38" i="40"/>
  <c r="J38" i="40"/>
  <c r="K38" i="40" s="1"/>
  <c r="M38" i="40"/>
  <c r="N38" i="40" s="1"/>
  <c r="G38" i="40"/>
  <c r="H38" i="40" s="1"/>
  <c r="P38" i="40"/>
  <c r="Q38" i="40" s="1"/>
  <c r="P37" i="39"/>
  <c r="O37" i="39"/>
  <c r="P41" i="39"/>
  <c r="H31" i="41" s="1"/>
  <c r="O41" i="39"/>
  <c r="R53" i="40"/>
  <c r="J53" i="40"/>
  <c r="K53" i="40" s="1"/>
  <c r="P53" i="40"/>
  <c r="Q53" i="40" s="1"/>
  <c r="M53" i="40"/>
  <c r="N53" i="40" s="1"/>
  <c r="G53" i="40"/>
  <c r="H53" i="40" s="1"/>
  <c r="O31" i="39"/>
  <c r="P46" i="39"/>
  <c r="O46" i="39"/>
  <c r="Q46" i="39" s="1"/>
  <c r="Q38" i="39"/>
  <c r="G38" i="41"/>
  <c r="R25" i="40"/>
  <c r="M25" i="40"/>
  <c r="N25" i="40" s="1"/>
  <c r="G25" i="40"/>
  <c r="H25" i="40" s="1"/>
  <c r="P25" i="40"/>
  <c r="Q25" i="40" s="1"/>
  <c r="J25" i="40"/>
  <c r="K25" i="40" s="1"/>
  <c r="Q40" i="39"/>
  <c r="R65" i="40"/>
  <c r="G65" i="40"/>
  <c r="H65" i="40" s="1"/>
  <c r="S65" i="40" s="1"/>
  <c r="J65" i="40"/>
  <c r="K65" i="40" s="1"/>
  <c r="M65" i="40"/>
  <c r="N65" i="40" s="1"/>
  <c r="P65" i="40"/>
  <c r="Q65" i="40" s="1"/>
  <c r="P44" i="39"/>
  <c r="O44" i="39"/>
  <c r="G5" i="55"/>
  <c r="G8" i="55"/>
  <c r="G24" i="40"/>
  <c r="H24" i="40" s="1"/>
  <c r="R24" i="40"/>
  <c r="M26" i="40"/>
  <c r="N26" i="40" s="1"/>
  <c r="R26" i="40"/>
  <c r="P26" i="40"/>
  <c r="Q26" i="40" s="1"/>
  <c r="Q34" i="39"/>
  <c r="Q32" i="39"/>
  <c r="Q35" i="39"/>
  <c r="Q36" i="39"/>
  <c r="Q31" i="39"/>
  <c r="J35" i="40"/>
  <c r="K35" i="40" s="1"/>
  <c r="M35" i="40"/>
  <c r="N35" i="40" s="1"/>
  <c r="Q30" i="39"/>
  <c r="P33" i="39"/>
  <c r="O33" i="39"/>
  <c r="P35" i="40"/>
  <c r="Q35" i="40" s="1"/>
  <c r="R35" i="40"/>
  <c r="H35" i="40"/>
  <c r="M56" i="40"/>
  <c r="N56" i="40" s="1"/>
  <c r="J56" i="40"/>
  <c r="K56" i="40" s="1"/>
  <c r="P56" i="40"/>
  <c r="Q56" i="40" s="1"/>
  <c r="G56" i="40"/>
  <c r="H56" i="40" s="1"/>
  <c r="R56" i="40"/>
  <c r="G49" i="40"/>
  <c r="H49" i="40" s="1"/>
  <c r="R49" i="40"/>
  <c r="P49" i="40"/>
  <c r="Q49" i="40" s="1"/>
  <c r="M49" i="40"/>
  <c r="N49" i="40" s="1"/>
  <c r="J49" i="40"/>
  <c r="K49" i="40" s="1"/>
  <c r="P15" i="39"/>
  <c r="H32" i="41" s="1"/>
  <c r="O15" i="39"/>
  <c r="M42" i="40"/>
  <c r="N42" i="40" s="1"/>
  <c r="J42" i="40"/>
  <c r="K42" i="40" s="1"/>
  <c r="R42" i="40"/>
  <c r="P42" i="40"/>
  <c r="Q42" i="40" s="1"/>
  <c r="G42" i="40"/>
  <c r="H42" i="40" s="1"/>
  <c r="P59" i="40"/>
  <c r="Q59" i="40" s="1"/>
  <c r="G59" i="40"/>
  <c r="H59" i="40" s="1"/>
  <c r="R59" i="40"/>
  <c r="M59" i="40"/>
  <c r="N59" i="40" s="1"/>
  <c r="J59" i="40"/>
  <c r="K59" i="40" s="1"/>
  <c r="G26" i="40"/>
  <c r="H26" i="40" s="1"/>
  <c r="P37" i="40"/>
  <c r="Q37" i="40" s="1"/>
  <c r="M57" i="40"/>
  <c r="N57" i="40" s="1"/>
  <c r="G57" i="40"/>
  <c r="H57" i="40" s="1"/>
  <c r="J57" i="40"/>
  <c r="K57" i="40" s="1"/>
  <c r="P57" i="40"/>
  <c r="Q57" i="40" s="1"/>
  <c r="R57" i="40"/>
  <c r="G45" i="40"/>
  <c r="H45" i="40" s="1"/>
  <c r="J45" i="40"/>
  <c r="K45" i="40" s="1"/>
  <c r="M45" i="40"/>
  <c r="N45" i="40" s="1"/>
  <c r="R45" i="40"/>
  <c r="P45" i="40"/>
  <c r="Q45" i="40" s="1"/>
  <c r="O23" i="39"/>
  <c r="P23" i="39"/>
  <c r="O16" i="39"/>
  <c r="P16" i="39"/>
  <c r="H36" i="41" s="1"/>
  <c r="G39" i="40"/>
  <c r="H39" i="40" s="1"/>
  <c r="R39" i="40"/>
  <c r="P39" i="40"/>
  <c r="Q39" i="40" s="1"/>
  <c r="J39" i="40"/>
  <c r="K39" i="40" s="1"/>
  <c r="M39" i="40"/>
  <c r="N39" i="40" s="1"/>
  <c r="M37" i="40"/>
  <c r="N37" i="40" s="1"/>
  <c r="G37" i="40"/>
  <c r="H37" i="40" s="1"/>
  <c r="P21" i="39"/>
  <c r="O21" i="39"/>
  <c r="J37" i="40"/>
  <c r="K37" i="40" s="1"/>
  <c r="G40" i="40"/>
  <c r="H40" i="40" s="1"/>
  <c r="P40" i="40"/>
  <c r="Q40" i="40" s="1"/>
  <c r="J40" i="40"/>
  <c r="K40" i="40" s="1"/>
  <c r="M40" i="40"/>
  <c r="N40" i="40" s="1"/>
  <c r="R40" i="40"/>
  <c r="P20" i="39"/>
  <c r="O20" i="39"/>
  <c r="G60" i="40"/>
  <c r="H60" i="40" s="1"/>
  <c r="P60" i="40"/>
  <c r="Q60" i="40" s="1"/>
  <c r="J60" i="40"/>
  <c r="K60" i="40" s="1"/>
  <c r="M60" i="40"/>
  <c r="N60" i="40" s="1"/>
  <c r="R60" i="40"/>
  <c r="P24" i="39"/>
  <c r="O24" i="39"/>
  <c r="M58" i="40"/>
  <c r="N58" i="40" s="1"/>
  <c r="J58" i="40"/>
  <c r="K58" i="40" s="1"/>
  <c r="P58" i="40"/>
  <c r="Q58" i="40" s="1"/>
  <c r="G58" i="40"/>
  <c r="H58" i="40" s="1"/>
  <c r="R58" i="40"/>
  <c r="J43" i="40"/>
  <c r="K43" i="40" s="1"/>
  <c r="G43" i="40"/>
  <c r="H43" i="40" s="1"/>
  <c r="R43" i="40"/>
  <c r="P43" i="40"/>
  <c r="Q43" i="40" s="1"/>
  <c r="M43" i="40"/>
  <c r="N43" i="40" s="1"/>
  <c r="G54" i="40"/>
  <c r="H54" i="40" s="1"/>
  <c r="P54" i="40"/>
  <c r="Q54" i="40" s="1"/>
  <c r="M54" i="40"/>
  <c r="N54" i="40" s="1"/>
  <c r="J54" i="40"/>
  <c r="K54" i="40" s="1"/>
  <c r="R54" i="40"/>
  <c r="P29" i="39"/>
  <c r="O29" i="39"/>
  <c r="J55" i="40"/>
  <c r="K55" i="40" s="1"/>
  <c r="R55" i="40"/>
  <c r="M55" i="40"/>
  <c r="N55" i="40" s="1"/>
  <c r="P55" i="40"/>
  <c r="Q55" i="40" s="1"/>
  <c r="G55" i="40"/>
  <c r="H55" i="40" s="1"/>
  <c r="P27" i="39"/>
  <c r="O27" i="39"/>
  <c r="P19" i="39"/>
  <c r="O19" i="39"/>
  <c r="G52" i="40"/>
  <c r="H52" i="40" s="1"/>
  <c r="R52" i="40"/>
  <c r="J52" i="40"/>
  <c r="K52" i="40" s="1"/>
  <c r="P52" i="40"/>
  <c r="Q52" i="40" s="1"/>
  <c r="M52" i="40"/>
  <c r="N52" i="40" s="1"/>
  <c r="R64" i="40"/>
  <c r="P64" i="40"/>
  <c r="Q64" i="40" s="1"/>
  <c r="G64" i="40"/>
  <c r="H64" i="40" s="1"/>
  <c r="M64" i="40"/>
  <c r="N64" i="40" s="1"/>
  <c r="J64" i="40"/>
  <c r="K64" i="40" s="1"/>
  <c r="P18" i="39"/>
  <c r="O18" i="39"/>
  <c r="P26" i="39"/>
  <c r="O26" i="39"/>
  <c r="P24" i="40"/>
  <c r="Q24" i="40" s="1"/>
  <c r="O22" i="39"/>
  <c r="P22" i="39"/>
  <c r="R47" i="40"/>
  <c r="G47" i="40"/>
  <c r="H47" i="40" s="1"/>
  <c r="M47" i="40"/>
  <c r="N47" i="40" s="1"/>
  <c r="P47" i="40"/>
  <c r="Q47" i="40" s="1"/>
  <c r="J47" i="40"/>
  <c r="K47" i="40" s="1"/>
  <c r="O28" i="39"/>
  <c r="P28" i="39"/>
  <c r="M46" i="40"/>
  <c r="N46" i="40" s="1"/>
  <c r="G46" i="40"/>
  <c r="H46" i="40" s="1"/>
  <c r="J46" i="40"/>
  <c r="K46" i="40" s="1"/>
  <c r="R46" i="40"/>
  <c r="P46" i="40"/>
  <c r="Q46" i="40" s="1"/>
  <c r="P17" i="39"/>
  <c r="H34" i="41" s="1"/>
  <c r="O17" i="39"/>
  <c r="J24" i="40"/>
  <c r="K24" i="40" s="1"/>
  <c r="P51" i="40"/>
  <c r="Q51" i="40" s="1"/>
  <c r="J51" i="40"/>
  <c r="K51" i="40" s="1"/>
  <c r="G51" i="40"/>
  <c r="H51" i="40" s="1"/>
  <c r="R51" i="40"/>
  <c r="M51" i="40"/>
  <c r="N51" i="40" s="1"/>
  <c r="M48" i="40"/>
  <c r="N48" i="40" s="1"/>
  <c r="P48" i="40"/>
  <c r="Q48" i="40" s="1"/>
  <c r="J48" i="40"/>
  <c r="K48" i="40" s="1"/>
  <c r="G48" i="40"/>
  <c r="H48" i="40" s="1"/>
  <c r="R48" i="40"/>
  <c r="R63" i="40"/>
  <c r="G63" i="40"/>
  <c r="H63" i="40" s="1"/>
  <c r="M63" i="40"/>
  <c r="N63" i="40" s="1"/>
  <c r="P63" i="40"/>
  <c r="Q63" i="40" s="1"/>
  <c r="J63" i="40"/>
  <c r="K63" i="40" s="1"/>
  <c r="R44" i="40"/>
  <c r="P44" i="40"/>
  <c r="Q44" i="40" s="1"/>
  <c r="M44" i="40"/>
  <c r="N44" i="40" s="1"/>
  <c r="G44" i="40"/>
  <c r="H44" i="40" s="1"/>
  <c r="J44" i="40"/>
  <c r="K44" i="40" s="1"/>
  <c r="O25" i="39"/>
  <c r="P25" i="39"/>
  <c r="J62" i="40"/>
  <c r="K62" i="40" s="1"/>
  <c r="M62" i="40"/>
  <c r="N62" i="40" s="1"/>
  <c r="P62" i="40"/>
  <c r="Q62" i="40" s="1"/>
  <c r="G62" i="40"/>
  <c r="H62" i="40" s="1"/>
  <c r="R62" i="40"/>
  <c r="J41" i="40"/>
  <c r="K41" i="40" s="1"/>
  <c r="R41" i="40"/>
  <c r="M41" i="40"/>
  <c r="N41" i="40" s="1"/>
  <c r="G41" i="40"/>
  <c r="H41" i="40" s="1"/>
  <c r="P41" i="40"/>
  <c r="Q41" i="40" s="1"/>
  <c r="M61" i="40"/>
  <c r="N61" i="40" s="1"/>
  <c r="P61" i="40"/>
  <c r="Q61" i="40" s="1"/>
  <c r="G61" i="40"/>
  <c r="H61" i="40" s="1"/>
  <c r="R61" i="40"/>
  <c r="J61" i="40"/>
  <c r="K61" i="40" s="1"/>
  <c r="J20" i="40"/>
  <c r="K20" i="40" s="1"/>
  <c r="R20" i="40"/>
  <c r="G20" i="40"/>
  <c r="H20" i="40" s="1"/>
  <c r="P20" i="40"/>
  <c r="Q20" i="40" s="1"/>
  <c r="M20" i="40"/>
  <c r="N20" i="40" s="1"/>
  <c r="J32" i="40"/>
  <c r="K32" i="40" s="1"/>
  <c r="R32" i="40"/>
  <c r="G32" i="40"/>
  <c r="H32" i="40" s="1"/>
  <c r="M32" i="40"/>
  <c r="N32" i="40" s="1"/>
  <c r="P32" i="40"/>
  <c r="Q32" i="40" s="1"/>
  <c r="J22" i="40"/>
  <c r="K22" i="40" s="1"/>
  <c r="G22" i="40"/>
  <c r="H22" i="40" s="1"/>
  <c r="P22" i="40"/>
  <c r="Q22" i="40" s="1"/>
  <c r="M22" i="40"/>
  <c r="N22" i="40" s="1"/>
  <c r="R22" i="40"/>
  <c r="J34" i="40"/>
  <c r="K34" i="40" s="1"/>
  <c r="G34" i="40"/>
  <c r="H34" i="40" s="1"/>
  <c r="M34" i="40"/>
  <c r="N34" i="40" s="1"/>
  <c r="R34" i="40"/>
  <c r="P34" i="40"/>
  <c r="Q34" i="40" s="1"/>
  <c r="R15" i="40"/>
  <c r="G15" i="40"/>
  <c r="H15" i="40" s="1"/>
  <c r="M15" i="40"/>
  <c r="N15" i="40" s="1"/>
  <c r="J15" i="40"/>
  <c r="K15" i="40" s="1"/>
  <c r="P15" i="40"/>
  <c r="Q15" i="40" s="1"/>
  <c r="J27" i="40"/>
  <c r="K27" i="40" s="1"/>
  <c r="R27" i="40"/>
  <c r="G27" i="40"/>
  <c r="H27" i="40" s="1"/>
  <c r="M27" i="40"/>
  <c r="N27" i="40" s="1"/>
  <c r="P27" i="40"/>
  <c r="Q27" i="40" s="1"/>
  <c r="J16" i="40"/>
  <c r="K16" i="40" s="1"/>
  <c r="R16" i="40"/>
  <c r="G16" i="40"/>
  <c r="H16" i="40" s="1"/>
  <c r="P16" i="40"/>
  <c r="Q16" i="40" s="1"/>
  <c r="M16" i="40"/>
  <c r="N16" i="40" s="1"/>
  <c r="J28" i="40"/>
  <c r="K28" i="40" s="1"/>
  <c r="P28" i="40"/>
  <c r="Q28" i="40" s="1"/>
  <c r="M28" i="40"/>
  <c r="N28" i="40" s="1"/>
  <c r="R28" i="40"/>
  <c r="G28" i="40"/>
  <c r="H28" i="40" s="1"/>
  <c r="J19" i="40"/>
  <c r="K19" i="40" s="1"/>
  <c r="M19" i="40"/>
  <c r="N19" i="40" s="1"/>
  <c r="R19" i="40"/>
  <c r="G19" i="40"/>
  <c r="H19" i="40" s="1"/>
  <c r="P19" i="40"/>
  <c r="Q19" i="40" s="1"/>
  <c r="J31" i="40"/>
  <c r="K31" i="40" s="1"/>
  <c r="R31" i="40"/>
  <c r="G31" i="40"/>
  <c r="H31" i="40" s="1"/>
  <c r="P31" i="40"/>
  <c r="Q31" i="40" s="1"/>
  <c r="M31" i="40"/>
  <c r="N31" i="40" s="1"/>
  <c r="J18" i="40"/>
  <c r="K18" i="40" s="1"/>
  <c r="M18" i="40"/>
  <c r="N18" i="40" s="1"/>
  <c r="R18" i="40"/>
  <c r="G18" i="40"/>
  <c r="H18" i="40" s="1"/>
  <c r="P18" i="40"/>
  <c r="Q18" i="40" s="1"/>
  <c r="J30" i="40"/>
  <c r="K30" i="40" s="1"/>
  <c r="R30" i="40"/>
  <c r="G30" i="40"/>
  <c r="H30" i="40" s="1"/>
  <c r="M30" i="40"/>
  <c r="N30" i="40" s="1"/>
  <c r="P30" i="40"/>
  <c r="Q30" i="40" s="1"/>
  <c r="R21" i="40"/>
  <c r="G21" i="40"/>
  <c r="H21" i="40" s="1"/>
  <c r="P21" i="40"/>
  <c r="Q21" i="40" s="1"/>
  <c r="M21" i="40"/>
  <c r="N21" i="40" s="1"/>
  <c r="J21" i="40"/>
  <c r="K21" i="40" s="1"/>
  <c r="J33" i="40"/>
  <c r="K33" i="40" s="1"/>
  <c r="G33" i="40"/>
  <c r="H33" i="40" s="1"/>
  <c r="R33" i="40"/>
  <c r="P33" i="40"/>
  <c r="Q33" i="40" s="1"/>
  <c r="M33" i="40"/>
  <c r="N33" i="40" s="1"/>
  <c r="J17" i="40"/>
  <c r="K17" i="40" s="1"/>
  <c r="M17" i="40"/>
  <c r="N17" i="40" s="1"/>
  <c r="P17" i="40"/>
  <c r="Q17" i="40" s="1"/>
  <c r="G17" i="40"/>
  <c r="H17" i="40" s="1"/>
  <c r="R17" i="40"/>
  <c r="J29" i="40"/>
  <c r="K29" i="40" s="1"/>
  <c r="R29" i="40"/>
  <c r="G29" i="40"/>
  <c r="H29" i="40" s="1"/>
  <c r="P29" i="40"/>
  <c r="Q29" i="40" s="1"/>
  <c r="M29" i="40"/>
  <c r="N29" i="40" s="1"/>
  <c r="J23" i="40"/>
  <c r="K23" i="40" s="1"/>
  <c r="R23" i="40"/>
  <c r="P23" i="40"/>
  <c r="Q23" i="40" s="1"/>
  <c r="G23" i="40"/>
  <c r="H23" i="40" s="1"/>
  <c r="M23" i="40"/>
  <c r="N23" i="40" s="1"/>
  <c r="J36" i="40"/>
  <c r="K36" i="40" s="1"/>
  <c r="G36" i="40"/>
  <c r="H36" i="40" s="1"/>
  <c r="P36" i="40"/>
  <c r="Q36" i="40" s="1"/>
  <c r="R36" i="40"/>
  <c r="M36" i="40"/>
  <c r="N36" i="40" s="1"/>
  <c r="I17" i="41"/>
  <c r="J14" i="40"/>
  <c r="K14" i="40" s="1"/>
  <c r="R14" i="40"/>
  <c r="P14" i="40"/>
  <c r="Q14" i="40" s="1"/>
  <c r="G14" i="40"/>
  <c r="H14" i="40" s="1"/>
  <c r="O13" i="39"/>
  <c r="Q13" i="39" s="1"/>
  <c r="I20" i="41"/>
  <c r="I21" i="41"/>
  <c r="I23" i="41"/>
  <c r="I14" i="71"/>
  <c r="C4" i="71" s="1"/>
  <c r="H13" i="26"/>
  <c r="C4" i="26" s="1"/>
  <c r="B4" i="74"/>
  <c r="B6" i="74"/>
  <c r="H13" i="70"/>
  <c r="C4" i="70" s="1"/>
  <c r="J48" i="41" s="1"/>
  <c r="B5" i="74"/>
  <c r="B2" i="74"/>
  <c r="F5" i="55"/>
  <c r="F6" i="55"/>
  <c r="E7" i="40"/>
  <c r="R13" i="40"/>
  <c r="E6" i="40"/>
  <c r="N13" i="40"/>
  <c r="H13" i="40"/>
  <c r="M13" i="40"/>
  <c r="G13" i="40"/>
  <c r="E5" i="40"/>
  <c r="Q13" i="40"/>
  <c r="J13" i="40"/>
  <c r="E8" i="40"/>
  <c r="K13" i="40"/>
  <c r="P13" i="40"/>
  <c r="S13" i="40"/>
  <c r="S38" i="40" l="1"/>
  <c r="Q44" i="39"/>
  <c r="Q41" i="39"/>
  <c r="G31" i="41"/>
  <c r="Q37" i="39"/>
  <c r="Q43" i="39"/>
  <c r="S25" i="40"/>
  <c r="S53" i="40"/>
  <c r="F35" i="55" s="1"/>
  <c r="G10" i="55"/>
  <c r="S26" i="40"/>
  <c r="S57" i="40"/>
  <c r="S59" i="40"/>
  <c r="Q25" i="39"/>
  <c r="S15" i="40"/>
  <c r="S19" i="40"/>
  <c r="C30" i="55" s="1"/>
  <c r="S48" i="40"/>
  <c r="E22" i="55" s="1"/>
  <c r="Q19" i="39"/>
  <c r="S22" i="40"/>
  <c r="C24" i="55" s="1"/>
  <c r="G33" i="41"/>
  <c r="S20" i="40"/>
  <c r="S62" i="40"/>
  <c r="S24" i="40"/>
  <c r="S16" i="40"/>
  <c r="C29" i="55" s="1"/>
  <c r="S29" i="40"/>
  <c r="D34" i="55" s="1"/>
  <c r="S30" i="40"/>
  <c r="D32" i="55" s="1"/>
  <c r="S14" i="40"/>
  <c r="C27" i="55" s="1"/>
  <c r="S18" i="40"/>
  <c r="C32" i="55" s="1"/>
  <c r="S31" i="40"/>
  <c r="D30" i="55" s="1"/>
  <c r="S35" i="40"/>
  <c r="F30" i="41" s="1"/>
  <c r="S46" i="40"/>
  <c r="Q29" i="39"/>
  <c r="S60" i="40"/>
  <c r="G23" i="55" s="1"/>
  <c r="S36" i="40"/>
  <c r="S58" i="40"/>
  <c r="G32" i="55" s="1"/>
  <c r="S42" i="40"/>
  <c r="E34" i="55" s="1"/>
  <c r="S55" i="40"/>
  <c r="G28" i="55" s="1"/>
  <c r="Q33" i="39"/>
  <c r="S61" i="40"/>
  <c r="S40" i="40"/>
  <c r="E28" i="55" s="1"/>
  <c r="Q24" i="39"/>
  <c r="S37" i="40"/>
  <c r="F36" i="41" s="1"/>
  <c r="S32" i="40"/>
  <c r="Q27" i="39"/>
  <c r="Q21" i="39"/>
  <c r="S56" i="40"/>
  <c r="S54" i="40"/>
  <c r="G27" i="55" s="1"/>
  <c r="S49" i="40"/>
  <c r="S27" i="40"/>
  <c r="S41" i="40"/>
  <c r="E29" i="55" s="1"/>
  <c r="S44" i="40"/>
  <c r="S63" i="40"/>
  <c r="S64" i="40"/>
  <c r="G26" i="55" s="1"/>
  <c r="S17" i="40"/>
  <c r="C34" i="55" s="1"/>
  <c r="S51" i="40"/>
  <c r="S52" i="40"/>
  <c r="F33" i="55" s="1"/>
  <c r="S45" i="40"/>
  <c r="E23" i="55" s="1"/>
  <c r="H37" i="41"/>
  <c r="S39" i="40"/>
  <c r="E27" i="55" s="1"/>
  <c r="S47" i="40"/>
  <c r="E24" i="55" s="1"/>
  <c r="S43" i="40"/>
  <c r="E32" i="55" s="1"/>
  <c r="Q15" i="39"/>
  <c r="G32" i="41"/>
  <c r="D7" i="40"/>
  <c r="Q28" i="39"/>
  <c r="Q20" i="39"/>
  <c r="G39" i="41"/>
  <c r="Q16" i="39"/>
  <c r="G36" i="41"/>
  <c r="Q26" i="39"/>
  <c r="H39" i="41"/>
  <c r="Q23" i="39"/>
  <c r="H35" i="41"/>
  <c r="G35" i="41"/>
  <c r="Q17" i="39"/>
  <c r="G34" i="41"/>
  <c r="Q18" i="39"/>
  <c r="G37" i="41"/>
  <c r="Q22" i="39"/>
  <c r="H33" i="41"/>
  <c r="S23" i="40"/>
  <c r="S33" i="40"/>
  <c r="D33" i="55" s="1"/>
  <c r="S21" i="40"/>
  <c r="S28" i="40"/>
  <c r="D29" i="55" s="1"/>
  <c r="S34" i="40"/>
  <c r="D6" i="40"/>
  <c r="D5" i="40"/>
  <c r="D8" i="40"/>
  <c r="E7" i="55"/>
  <c r="C23" i="55"/>
  <c r="F24" i="55"/>
  <c r="C25" i="55"/>
  <c r="E25" i="55"/>
  <c r="G25" i="55"/>
  <c r="D26" i="55"/>
  <c r="F26" i="55"/>
  <c r="F28" i="55"/>
  <c r="G29" i="55"/>
  <c r="F30" i="55"/>
  <c r="C31" i="55"/>
  <c r="E31" i="55"/>
  <c r="G31" i="55"/>
  <c r="F32" i="55"/>
  <c r="E33" i="55"/>
  <c r="G33" i="55"/>
  <c r="F34" i="55"/>
  <c r="E35" i="55"/>
  <c r="G35" i="55"/>
  <c r="D36" i="55"/>
  <c r="F36" i="55"/>
  <c r="C37" i="55"/>
  <c r="E37" i="55"/>
  <c r="G37" i="55"/>
  <c r="D38" i="55"/>
  <c r="F38" i="55"/>
  <c r="C39" i="55"/>
  <c r="E39" i="55"/>
  <c r="G39" i="55"/>
  <c r="D40" i="55"/>
  <c r="F40" i="55"/>
  <c r="C41" i="55"/>
  <c r="E41" i="55"/>
  <c r="G41" i="55"/>
  <c r="D42" i="55"/>
  <c r="F42" i="55"/>
  <c r="C43" i="55"/>
  <c r="E43" i="55"/>
  <c r="G43" i="55"/>
  <c r="D44" i="55"/>
  <c r="F44" i="55"/>
  <c r="C45" i="55"/>
  <c r="E45" i="55"/>
  <c r="F23" i="55"/>
  <c r="G24" i="55"/>
  <c r="F25" i="55"/>
  <c r="C26" i="55"/>
  <c r="D27" i="55"/>
  <c r="F27" i="55"/>
  <c r="C28" i="55"/>
  <c r="F29" i="55"/>
  <c r="G30" i="55"/>
  <c r="F31" i="55"/>
  <c r="G34" i="55"/>
  <c r="D35" i="55"/>
  <c r="C36" i="55"/>
  <c r="E36" i="55"/>
  <c r="G36" i="55"/>
  <c r="D37" i="55"/>
  <c r="F37" i="55"/>
  <c r="C38" i="55"/>
  <c r="E38" i="55"/>
  <c r="G38" i="55"/>
  <c r="D39" i="55"/>
  <c r="F39" i="55"/>
  <c r="C40" i="55"/>
  <c r="E40" i="55"/>
  <c r="G40" i="55"/>
  <c r="D41" i="55"/>
  <c r="F41" i="55"/>
  <c r="C42" i="55"/>
  <c r="E42" i="55"/>
  <c r="G42" i="55"/>
  <c r="D43" i="55"/>
  <c r="F43" i="55"/>
  <c r="C44" i="55"/>
  <c r="E44" i="55"/>
  <c r="G44" i="55"/>
  <c r="D45" i="55"/>
  <c r="F45" i="55"/>
  <c r="G45" i="55"/>
  <c r="D46" i="55"/>
  <c r="F46" i="55"/>
  <c r="C47" i="55"/>
  <c r="E47" i="55"/>
  <c r="G47" i="55"/>
  <c r="D48" i="55"/>
  <c r="F48" i="55"/>
  <c r="C49" i="55"/>
  <c r="E49" i="55"/>
  <c r="G49" i="55"/>
  <c r="D50" i="55"/>
  <c r="F50" i="55"/>
  <c r="C51" i="55"/>
  <c r="E51" i="55"/>
  <c r="G51" i="55"/>
  <c r="D52" i="55"/>
  <c r="F52" i="55"/>
  <c r="C53" i="55"/>
  <c r="E53" i="55"/>
  <c r="G53" i="55"/>
  <c r="D54" i="55"/>
  <c r="F54" i="55"/>
  <c r="C55" i="55"/>
  <c r="E55" i="55"/>
  <c r="G55" i="55"/>
  <c r="D56" i="55"/>
  <c r="F56" i="55"/>
  <c r="C57" i="55"/>
  <c r="E57" i="55"/>
  <c r="G57" i="55"/>
  <c r="D58" i="55"/>
  <c r="F58" i="55"/>
  <c r="C59" i="55"/>
  <c r="E59" i="55"/>
  <c r="G59" i="55"/>
  <c r="D60" i="55"/>
  <c r="F60" i="55"/>
  <c r="C61" i="55"/>
  <c r="E61" i="55"/>
  <c r="G61" i="55"/>
  <c r="D62" i="55"/>
  <c r="F62" i="55"/>
  <c r="C63" i="55"/>
  <c r="E63" i="55"/>
  <c r="G63" i="55"/>
  <c r="D64" i="55"/>
  <c r="F64" i="55"/>
  <c r="C65" i="55"/>
  <c r="E65" i="55"/>
  <c r="G65" i="55"/>
  <c r="D66" i="55"/>
  <c r="F66" i="55"/>
  <c r="C67" i="55"/>
  <c r="E67" i="55"/>
  <c r="G67" i="55"/>
  <c r="D68" i="55"/>
  <c r="F68" i="55"/>
  <c r="C69" i="55"/>
  <c r="E69" i="55"/>
  <c r="G69" i="55"/>
  <c r="D70" i="55"/>
  <c r="F70" i="55"/>
  <c r="C71" i="55"/>
  <c r="E71" i="55"/>
  <c r="G71" i="55"/>
  <c r="D72" i="55"/>
  <c r="F72" i="55"/>
  <c r="C73" i="55"/>
  <c r="E73" i="55"/>
  <c r="G73" i="55"/>
  <c r="D74" i="55"/>
  <c r="F74" i="55"/>
  <c r="C75" i="55"/>
  <c r="E75" i="55"/>
  <c r="G75" i="55"/>
  <c r="D76" i="55"/>
  <c r="F76" i="55"/>
  <c r="C46" i="55"/>
  <c r="E46" i="55"/>
  <c r="G46" i="55"/>
  <c r="D47" i="55"/>
  <c r="F47" i="55"/>
  <c r="C48" i="55"/>
  <c r="E48" i="55"/>
  <c r="G48" i="55"/>
  <c r="D49" i="55"/>
  <c r="F49" i="55"/>
  <c r="C50" i="55"/>
  <c r="E50" i="55"/>
  <c r="G50" i="55"/>
  <c r="D51" i="55"/>
  <c r="F51" i="55"/>
  <c r="C52" i="55"/>
  <c r="E52" i="55"/>
  <c r="G52" i="55"/>
  <c r="D53" i="55"/>
  <c r="F53" i="55"/>
  <c r="C54" i="55"/>
  <c r="E54" i="55"/>
  <c r="G54" i="55"/>
  <c r="D55" i="55"/>
  <c r="F55" i="55"/>
  <c r="C56" i="55"/>
  <c r="E56" i="55"/>
  <c r="G56" i="55"/>
  <c r="D57" i="55"/>
  <c r="F57" i="55"/>
  <c r="C58" i="55"/>
  <c r="E58" i="55"/>
  <c r="G58" i="55"/>
  <c r="D59" i="55"/>
  <c r="F59" i="55"/>
  <c r="C60" i="55"/>
  <c r="E60" i="55"/>
  <c r="G60" i="55"/>
  <c r="D61" i="55"/>
  <c r="F61" i="55"/>
  <c r="C62" i="55"/>
  <c r="E62" i="55"/>
  <c r="G62" i="55"/>
  <c r="D63" i="55"/>
  <c r="F63" i="55"/>
  <c r="C64" i="55"/>
  <c r="E64" i="55"/>
  <c r="G64" i="55"/>
  <c r="D65" i="55"/>
  <c r="F65" i="55"/>
  <c r="C66" i="55"/>
  <c r="E66" i="55"/>
  <c r="G66" i="55"/>
  <c r="D67" i="55"/>
  <c r="F67" i="55"/>
  <c r="C68" i="55"/>
  <c r="E68" i="55"/>
  <c r="G68" i="55"/>
  <c r="D69" i="55"/>
  <c r="F69" i="55"/>
  <c r="C70" i="55"/>
  <c r="E70" i="55"/>
  <c r="G70" i="55"/>
  <c r="D71" i="55"/>
  <c r="F71" i="55"/>
  <c r="C72" i="55"/>
  <c r="E72" i="55"/>
  <c r="G72" i="55"/>
  <c r="D73" i="55"/>
  <c r="F73" i="55"/>
  <c r="C74" i="55"/>
  <c r="E74" i="55"/>
  <c r="G74" i="55"/>
  <c r="D75" i="55"/>
  <c r="F75" i="55"/>
  <c r="C76" i="55"/>
  <c r="E76" i="55"/>
  <c r="G76" i="55"/>
  <c r="F22" i="55"/>
  <c r="G22" i="55"/>
  <c r="D7" i="55"/>
  <c r="D8" i="55"/>
  <c r="E9" i="55"/>
  <c r="E8" i="55"/>
  <c r="D9" i="55"/>
  <c r="F10" i="55"/>
  <c r="J31" i="41"/>
  <c r="J44" i="41"/>
  <c r="J69" i="41"/>
  <c r="J81" i="41"/>
  <c r="J56" i="41"/>
  <c r="J49" i="41"/>
  <c r="J66" i="41"/>
  <c r="J41" i="41"/>
  <c r="J27" i="41"/>
  <c r="J53" i="41"/>
  <c r="J52" i="41"/>
  <c r="J65" i="41"/>
  <c r="J76" i="41"/>
  <c r="J59" i="41"/>
  <c r="J34" i="41"/>
  <c r="J55" i="41"/>
  <c r="J38" i="41"/>
  <c r="I40" i="41"/>
  <c r="I49" i="41"/>
  <c r="I41" i="41"/>
  <c r="I74" i="41"/>
  <c r="I51" i="41"/>
  <c r="I72" i="41"/>
  <c r="I30" i="41"/>
  <c r="I44" i="41"/>
  <c r="I52" i="41"/>
  <c r="I56" i="41"/>
  <c r="I35" i="41"/>
  <c r="I67" i="41"/>
  <c r="I62" i="41"/>
  <c r="I73" i="41"/>
  <c r="I55" i="41"/>
  <c r="I27" i="41"/>
  <c r="I36" i="41"/>
  <c r="I66" i="41"/>
  <c r="I33" i="41"/>
  <c r="I54" i="41"/>
  <c r="J77" i="41"/>
  <c r="J61" i="41"/>
  <c r="J45" i="41"/>
  <c r="J68" i="41"/>
  <c r="J36" i="41"/>
  <c r="J73" i="41"/>
  <c r="J57" i="41"/>
  <c r="J39" i="41"/>
  <c r="J60" i="41"/>
  <c r="J28" i="41"/>
  <c r="I32" i="41"/>
  <c r="I48" i="41"/>
  <c r="I64" i="41"/>
  <c r="I80" i="41"/>
  <c r="I43" i="41"/>
  <c r="I59" i="41"/>
  <c r="I75" i="41"/>
  <c r="I46" i="41"/>
  <c r="I78" i="41"/>
  <c r="I57" i="41"/>
  <c r="I76" i="41"/>
  <c r="I38" i="41"/>
  <c r="I42" i="41"/>
  <c r="I53" i="41"/>
  <c r="I47" i="41"/>
  <c r="I63" i="41"/>
  <c r="I77" i="41"/>
  <c r="J64" i="41"/>
  <c r="J37" i="41"/>
  <c r="J50" i="41"/>
  <c r="J35" i="41"/>
  <c r="J71" i="41"/>
  <c r="J70" i="41"/>
  <c r="J29" i="41"/>
  <c r="J51" i="41"/>
  <c r="J54" i="41"/>
  <c r="J33" i="41"/>
  <c r="J79" i="41"/>
  <c r="J63" i="41"/>
  <c r="J47" i="41"/>
  <c r="J72" i="41"/>
  <c r="J40" i="41"/>
  <c r="D21" i="41"/>
  <c r="J42" i="41"/>
  <c r="J58" i="41"/>
  <c r="J74" i="41"/>
  <c r="J75" i="41"/>
  <c r="J43" i="41"/>
  <c r="J32" i="41"/>
  <c r="I61" i="41"/>
  <c r="I50" i="41"/>
  <c r="I29" i="41"/>
  <c r="I45" i="41"/>
  <c r="I34" i="41"/>
  <c r="I65" i="41"/>
  <c r="I31" i="41"/>
  <c r="I79" i="41"/>
  <c r="I68" i="41"/>
  <c r="I69" i="41"/>
  <c r="I37" i="41"/>
  <c r="I58" i="41"/>
  <c r="D20" i="41"/>
  <c r="I81" i="41"/>
  <c r="I70" i="41"/>
  <c r="I71" i="41"/>
  <c r="I39" i="41"/>
  <c r="I60" i="41"/>
  <c r="I28" i="41"/>
  <c r="J78" i="41"/>
  <c r="J62" i="41"/>
  <c r="J46" i="41"/>
  <c r="J30" i="41"/>
  <c r="J80" i="41"/>
  <c r="J67" i="41"/>
  <c r="E9" i="40"/>
  <c r="F40" i="41" l="1"/>
  <c r="L40" i="41" s="1"/>
  <c r="C35" i="55"/>
  <c r="H35" i="55" s="1"/>
  <c r="F28" i="41"/>
  <c r="F35" i="41"/>
  <c r="L35" i="41" s="1"/>
  <c r="F38" i="41"/>
  <c r="L38" i="41" s="1"/>
  <c r="F27" i="41"/>
  <c r="D9" i="40"/>
  <c r="D17" i="41" s="1"/>
  <c r="E30" i="55"/>
  <c r="H30" i="55" s="1"/>
  <c r="F39" i="41"/>
  <c r="L39" i="41" s="1"/>
  <c r="C9" i="55"/>
  <c r="I9" i="55" s="1"/>
  <c r="F33" i="41"/>
  <c r="L33" i="41" s="1"/>
  <c r="D31" i="55"/>
  <c r="H31" i="55" s="1"/>
  <c r="F31" i="41"/>
  <c r="L31" i="41" s="1"/>
  <c r="F37" i="41"/>
  <c r="L37" i="41" s="1"/>
  <c r="C8" i="55"/>
  <c r="I8" i="55" s="1"/>
  <c r="F32" i="41"/>
  <c r="L32" i="41" s="1"/>
  <c r="E26" i="55"/>
  <c r="H26" i="55" s="1"/>
  <c r="D28" i="55"/>
  <c r="H28" i="55" s="1"/>
  <c r="F29" i="41"/>
  <c r="C5" i="55"/>
  <c r="C7" i="55"/>
  <c r="I7" i="55" s="1"/>
  <c r="C33" i="55"/>
  <c r="H33" i="55" s="1"/>
  <c r="L36" i="41"/>
  <c r="F34" i="41"/>
  <c r="L34" i="41" s="1"/>
  <c r="C6" i="55"/>
  <c r="H32" i="55"/>
  <c r="H27" i="55"/>
  <c r="H34" i="55"/>
  <c r="H29" i="55"/>
  <c r="H74" i="55"/>
  <c r="H70" i="55"/>
  <c r="H66" i="55"/>
  <c r="H62" i="55"/>
  <c r="H58" i="55"/>
  <c r="H54" i="55"/>
  <c r="H50" i="55"/>
  <c r="H46" i="55"/>
  <c r="H73" i="55"/>
  <c r="H69" i="55"/>
  <c r="H65" i="55"/>
  <c r="H61" i="55"/>
  <c r="H57" i="55"/>
  <c r="H53" i="55"/>
  <c r="H49" i="55"/>
  <c r="H42" i="55"/>
  <c r="H38" i="55"/>
  <c r="H45" i="55"/>
  <c r="H41" i="55"/>
  <c r="H37" i="55"/>
  <c r="H76" i="55"/>
  <c r="H72" i="55"/>
  <c r="H68" i="55"/>
  <c r="H64" i="55"/>
  <c r="H60" i="55"/>
  <c r="H56" i="55"/>
  <c r="H52" i="55"/>
  <c r="H48" i="55"/>
  <c r="H75" i="55"/>
  <c r="H71" i="55"/>
  <c r="H67" i="55"/>
  <c r="H63" i="55"/>
  <c r="H59" i="55"/>
  <c r="H55" i="55"/>
  <c r="H51" i="55"/>
  <c r="H47" i="55"/>
  <c r="H44" i="55"/>
  <c r="H40" i="55"/>
  <c r="H36" i="55"/>
  <c r="H43" i="55"/>
  <c r="H39" i="55"/>
  <c r="B7" i="74"/>
  <c r="F15" i="55"/>
  <c r="G15" i="55"/>
  <c r="G16" i="55"/>
  <c r="F16" i="55"/>
  <c r="G77" i="55"/>
  <c r="F77" i="55"/>
  <c r="C15" i="55" l="1"/>
  <c r="E77" i="55"/>
  <c r="C10" i="55"/>
  <c r="C16" i="55"/>
  <c r="G17" i="55"/>
  <c r="F17" i="55"/>
  <c r="K27" i="41"/>
  <c r="H15" i="55" s="1"/>
  <c r="H17" i="55" s="1"/>
  <c r="D10" i="39"/>
  <c r="D22" i="41" s="1"/>
  <c r="H5" i="55"/>
  <c r="H10" i="55" s="1"/>
  <c r="R14" i="39"/>
  <c r="C17" i="55" l="1"/>
  <c r="I19" i="41"/>
  <c r="F4" i="39"/>
  <c r="O14" i="39"/>
  <c r="D4" i="39" s="1"/>
  <c r="F6" i="39"/>
  <c r="B3" i="74"/>
  <c r="I18" i="41"/>
  <c r="P14" i="39"/>
  <c r="D5" i="39" s="1"/>
  <c r="I22" i="41"/>
  <c r="F8" i="39" l="1"/>
  <c r="E4" i="39"/>
  <c r="H30" i="41"/>
  <c r="H29" i="41"/>
  <c r="G29" i="41"/>
  <c r="D24" i="55"/>
  <c r="H24" i="55" s="1"/>
  <c r="G30" i="41"/>
  <c r="D25" i="55"/>
  <c r="H25" i="55" s="1"/>
  <c r="E6" i="55"/>
  <c r="H28" i="41"/>
  <c r="G28" i="41"/>
  <c r="D23" i="55"/>
  <c r="H23" i="55" s="1"/>
  <c r="D6" i="55"/>
  <c r="D22" i="55"/>
  <c r="D9" i="39"/>
  <c r="D19" i="41" s="1"/>
  <c r="E5" i="55"/>
  <c r="H27" i="41"/>
  <c r="D7" i="39"/>
  <c r="D5" i="55"/>
  <c r="C22" i="55"/>
  <c r="Q14" i="39"/>
  <c r="G27" i="41"/>
  <c r="D8" i="39"/>
  <c r="D6" i="39"/>
  <c r="I6" i="55" l="1"/>
  <c r="L30" i="41"/>
  <c r="L29" i="41"/>
  <c r="L28" i="41"/>
  <c r="E10" i="55"/>
  <c r="D77" i="55"/>
  <c r="E6" i="39"/>
  <c r="D15" i="55"/>
  <c r="D16" i="55"/>
  <c r="E15" i="55"/>
  <c r="E16" i="55"/>
  <c r="L27" i="41"/>
  <c r="H22" i="55"/>
  <c r="C77" i="55"/>
  <c r="E8" i="39"/>
  <c r="D18" i="41"/>
  <c r="D23" i="41" s="1"/>
  <c r="I5" i="55"/>
  <c r="D10" i="55"/>
  <c r="H77" i="55" l="1"/>
  <c r="I10" i="55"/>
  <c r="I16" i="55"/>
  <c r="I15" i="55"/>
  <c r="E17" i="55"/>
  <c r="D17" i="55"/>
  <c r="I17" i="55" l="1"/>
</calcChain>
</file>

<file path=xl/sharedStrings.xml><?xml version="1.0" encoding="utf-8"?>
<sst xmlns="http://schemas.openxmlformats.org/spreadsheetml/2006/main" count="1062" uniqueCount="429">
  <si>
    <t>Key Action 2: Cooperation for innovation and the exchange of good practices</t>
  </si>
  <si>
    <t>Capacity Building in the field of higher education</t>
  </si>
  <si>
    <r>
      <rPr>
        <b/>
        <sz val="18"/>
        <rFont val="Arial"/>
        <family val="2"/>
      </rPr>
      <t xml:space="preserve">Before completing this table please read carefully the instructions available on the </t>
    </r>
    <r>
      <rPr>
        <b/>
        <u/>
        <sz val="18"/>
        <color indexed="12"/>
        <rFont val="Arial"/>
        <family val="2"/>
      </rPr>
      <t>EACEA website</t>
    </r>
  </si>
  <si>
    <t>CALL FOR PROPOSALS 2020 – EAC/A02/2019 - Erasmus+ Programme (2019/C 373/06)</t>
  </si>
  <si>
    <t>Programme guide and instructions for applicants</t>
  </si>
  <si>
    <t>Action</t>
  </si>
  <si>
    <t>Duration number of months</t>
  </si>
  <si>
    <t>Project Acronym</t>
  </si>
  <si>
    <t>Project Title</t>
  </si>
  <si>
    <t>EU GRANT REQUESTED FROM THE EUROPEAN UNION (in EUR)</t>
  </si>
  <si>
    <t>1. Staff Costs</t>
  </si>
  <si>
    <t>2. Travel Costs</t>
  </si>
  <si>
    <t>3. Costs of Stay</t>
  </si>
  <si>
    <t>4. Equipment Costs</t>
  </si>
  <si>
    <t>5. Subcontracting Costs</t>
  </si>
  <si>
    <t>6. Exceptional Costs</t>
  </si>
  <si>
    <t>Total Grant requested from the European Union</t>
  </si>
  <si>
    <t>DISTRIBUTION OF THE GRANT BY ORGANISATION (in EUR)</t>
  </si>
  <si>
    <t>Partner 
N°</t>
  </si>
  <si>
    <t>Name of Partner</t>
  </si>
  <si>
    <t>Country</t>
  </si>
  <si>
    <t>PR/PA</t>
  </si>
  <si>
    <t>1. Staff 
Costs</t>
  </si>
  <si>
    <t>2. Travel 
Costs</t>
  </si>
  <si>
    <t>3. Costs of 
Stay</t>
  </si>
  <si>
    <t>4. Equipment 
Costs</t>
  </si>
  <si>
    <t>5. Subcontracting 
Costs</t>
  </si>
  <si>
    <t>Total 
Costs (in EUR)</t>
  </si>
  <si>
    <t>P1</t>
  </si>
  <si>
    <t>TeamChatGPT</t>
  </si>
  <si>
    <t>Serbia</t>
  </si>
  <si>
    <t>P2</t>
  </si>
  <si>
    <t>Zelena Lista Srbije</t>
  </si>
  <si>
    <t>P3</t>
  </si>
  <si>
    <t xml:space="preserve">TURMEPA </t>
  </si>
  <si>
    <t>Turkey</t>
  </si>
  <si>
    <t>P4</t>
  </si>
  <si>
    <t>Ozon</t>
  </si>
  <si>
    <t>Montenegro</t>
  </si>
  <si>
    <t>P5</t>
  </si>
  <si>
    <t>Eko Centar Srbija</t>
  </si>
  <si>
    <t>P6</t>
  </si>
  <si>
    <t xml:space="preserve">Udruga Eko </t>
  </si>
  <si>
    <t>Croatia</t>
  </si>
  <si>
    <t>P7</t>
  </si>
  <si>
    <t>Eko Drustvo Duboko</t>
  </si>
  <si>
    <t>P8</t>
  </si>
  <si>
    <t>Eko Albanija</t>
  </si>
  <si>
    <t>Albania</t>
  </si>
  <si>
    <t>P9</t>
  </si>
  <si>
    <t>Ekoloski Pokret Ibar</t>
  </si>
  <si>
    <t>P10</t>
  </si>
  <si>
    <t xml:space="preserve">BUND </t>
  </si>
  <si>
    <t>Germany</t>
  </si>
  <si>
    <t>P11</t>
  </si>
  <si>
    <t>BES</t>
  </si>
  <si>
    <t>Bulgaria</t>
  </si>
  <si>
    <t>P12</t>
  </si>
  <si>
    <t xml:space="preserve">Zeleni Kljuc </t>
  </si>
  <si>
    <t>P13</t>
  </si>
  <si>
    <t>Arcturos</t>
  </si>
  <si>
    <t>Greece</t>
  </si>
  <si>
    <t>P14</t>
  </si>
  <si>
    <t>P15</t>
  </si>
  <si>
    <t>P16</t>
  </si>
  <si>
    <t>P17</t>
  </si>
  <si>
    <t>P18</t>
  </si>
  <si>
    <t>P19</t>
  </si>
  <si>
    <t>P20</t>
  </si>
  <si>
    <t>P21</t>
  </si>
  <si>
    <t>P22</t>
  </si>
  <si>
    <t>P23</t>
  </si>
  <si>
    <t>P24</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</si>
  <si>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</si>
  <si>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</si>
  <si>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</si>
  <si>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</si>
  <si>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</si>
  <si>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</si>
  <si>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</si>
  <si>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</si>
  <si>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</si>
  <si>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</si>
  <si>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</si>
  <si>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</si>
  <si>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</si>
  <si>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</si>
  <si>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</si>
  <si>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</si>
  <si>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</si>
  <si>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</si>
  <si>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</si>
  <si>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</si>
  <si>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</si>
  <si>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</si>
  <si>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</si>
  <si>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</si>
  <si>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P49</t>
  </si>
  <si>
    <t>P50</t>
  </si>
  <si>
    <t>P51</t>
  </si>
  <si>
    <t>P52</t>
  </si>
  <si>
    <t>P53</t>
  </si>
  <si>
    <t>P54</t>
  </si>
  <si>
    <t>P55</t>
  </si>
  <si>
    <t>Data Sheet Validation</t>
  </si>
  <si>
    <t>2-3. Travel Costs&amp;Costs of Stay</t>
  </si>
  <si>
    <t>Co-financing</t>
  </si>
  <si>
    <t>Exceptional Travel Costs (EUR)</t>
  </si>
  <si>
    <t>Total (EUR)</t>
  </si>
  <si>
    <t>Number of Days</t>
  </si>
  <si>
    <t>Manager</t>
  </si>
  <si>
    <t>Teacher/Trainer/Researcher</t>
  </si>
  <si>
    <t>Technical Staff</t>
  </si>
  <si>
    <t>Administrative Staff</t>
  </si>
  <si>
    <t>Work
Package</t>
  </si>
  <si>
    <t>Name of Partner
(to encode in overview sheet)</t>
  </si>
  <si>
    <t>Country
(to encode in overview sheet)</t>
  </si>
  <si>
    <t>Total Number 
of Days</t>
  </si>
  <si>
    <t>Total 
(EUR)</t>
  </si>
  <si>
    <t>Check
Data
Encoding</t>
  </si>
  <si>
    <t>Number of 
days</t>
  </si>
  <si>
    <t>Unit cost 
per day</t>
  </si>
  <si>
    <t>Total
(EUR)</t>
  </si>
  <si>
    <t>Preparation</t>
  </si>
  <si>
    <t>Development</t>
  </si>
  <si>
    <t>Quality Plan</t>
  </si>
  <si>
    <t>Dissemination &amp; Exploitation</t>
  </si>
  <si>
    <t>Management</t>
  </si>
  <si>
    <t>2-3. Travel Costs &amp; Costs of Stay</t>
  </si>
  <si>
    <t>Travel Costs Student (EUR)</t>
  </si>
  <si>
    <t>Exceptional Costs for Expensive Travel</t>
  </si>
  <si>
    <t>Costs of Stay Student (EUR)</t>
  </si>
  <si>
    <r>
      <t xml:space="preserve">Exceptional costs for expensive travel - including the use of cleaner, lower carbon emission means of transport - can be claimed </t>
    </r>
    <r>
      <rPr>
        <b/>
        <sz val="14"/>
        <color rgb="FFFF0000"/>
        <rFont val="Arial Narrow"/>
        <family val="2"/>
      </rPr>
      <t>if for a specific travel, the unit cost amount covers less than 65% of the actual (/real) cost.</t>
    </r>
    <r>
      <rPr>
        <sz val="14"/>
        <rFont val="Arial Narrow"/>
        <family val="2"/>
      </rPr>
      <t xml:space="preserve"> In such a case, you can claim financial support </t>
    </r>
    <r>
      <rPr>
        <b/>
        <sz val="14"/>
        <color rgb="FFFF0000"/>
        <rFont val="Arial Narrow"/>
        <family val="2"/>
      </rPr>
      <t>up to a maximum of 80% of the actual (/real) cost for that travel.</t>
    </r>
    <r>
      <rPr>
        <sz val="14"/>
        <rFont val="Arial Narrow"/>
        <family val="2"/>
      </rPr>
      <t xml:space="preserve"> If exceptional costs are claimed, </t>
    </r>
    <r>
      <rPr>
        <b/>
        <sz val="14"/>
        <rFont val="Arial Narrow"/>
        <family val="2"/>
      </rPr>
      <t xml:space="preserve">please indicate the </t>
    </r>
    <r>
      <rPr>
        <b/>
        <u/>
        <sz val="14"/>
        <rFont val="Arial Narrow"/>
        <family val="2"/>
      </rPr>
      <t>total estimated cost</t>
    </r>
    <r>
      <rPr>
        <b/>
        <sz val="14"/>
        <rFont val="Arial Narrow"/>
        <family val="2"/>
      </rPr>
      <t xml:space="preserve"> for the travel(s) concerned</t>
    </r>
    <r>
      <rPr>
        <sz val="14"/>
        <rFont val="Arial Narrow"/>
        <family val="2"/>
      </rPr>
      <t xml:space="preserve">. An amount corresponding to 80% of the estimated cost will be automatically calculated and will replace the respective unit cost for the travel(s) concerned. Please note that the need for exceptional costs has to be </t>
    </r>
    <r>
      <rPr>
        <b/>
        <sz val="14"/>
        <rFont val="Arial Narrow"/>
        <family val="2"/>
      </rPr>
      <t>justified under Section E.3 of the "Detailed Description of the Project"</t>
    </r>
    <r>
      <rPr>
        <sz val="14"/>
        <rFont val="Arial Narrow"/>
        <family val="2"/>
      </rPr>
      <t>.</t>
    </r>
  </si>
  <si>
    <t>Travel Costs Staff (EUR)</t>
  </si>
  <si>
    <t>Costs of Stay Staff (EUR)</t>
  </si>
  <si>
    <t>Total Travel Costs (EUR)</t>
  </si>
  <si>
    <t>Total Costs of Stay (EUR)</t>
  </si>
  <si>
    <t>Exceptional Cost for Expensive Travel (EUR)</t>
  </si>
  <si>
    <r>
      <rPr>
        <b/>
        <u/>
        <sz val="14"/>
        <rFont val="Arial Narrow"/>
        <family val="2"/>
      </rPr>
      <t>City</t>
    </r>
    <r>
      <rPr>
        <b/>
        <sz val="14"/>
        <rFont val="Arial Narrow"/>
        <family val="2"/>
      </rPr>
      <t xml:space="preserve"> of Departure</t>
    </r>
  </si>
  <si>
    <t>Student/
Staff</t>
  </si>
  <si>
    <t>Number of 
Participants</t>
  </si>
  <si>
    <r>
      <rPr>
        <b/>
        <u/>
        <sz val="14"/>
        <rFont val="Arial Narrow"/>
        <family val="2"/>
      </rPr>
      <t>City</t>
    </r>
    <r>
      <rPr>
        <b/>
        <sz val="14"/>
        <rFont val="Arial Narrow"/>
        <family val="2"/>
      </rPr>
      <t xml:space="preserve"> of Destination</t>
    </r>
  </si>
  <si>
    <t>Travel Distance</t>
  </si>
  <si>
    <t>Number of 
days (per participant)</t>
  </si>
  <si>
    <t>Please confirm here below if you wish to base the calculation of travel costs on exceptional costs rather than on unit costs.</t>
  </si>
  <si>
    <t>Estimated Actual Cost of Travel (EUR)</t>
  </si>
  <si>
    <t>Travel 
Costs based on Unit Costs
(EUR)</t>
  </si>
  <si>
    <t>Costs of
Stay
(EUR)</t>
  </si>
  <si>
    <t>Nature, type and specifications of the item</t>
  </si>
  <si>
    <t>Amount
Excluding VAT
(EUR)</t>
  </si>
  <si>
    <t>Information for the Co-financing</t>
  </si>
  <si>
    <t>Item*</t>
  </si>
  <si>
    <t>Source of Co-financing**</t>
  </si>
  <si>
    <t>Justification***</t>
  </si>
  <si>
    <t>* e.g.: Equipment,  Staff costs, travel costs and/or costs of stay, printing &amp; publishing</t>
  </si>
  <si>
    <t>** e.g.: governmental grant, organisation/institution's own resources</t>
  </si>
  <si>
    <t>*** e.g.: Preparation of training materials - 2 days x 7,5 hours x 3 persons x € 25</t>
  </si>
  <si>
    <t>Budget Breakdown by Workpackage / Budget Headings</t>
  </si>
  <si>
    <t>3. Costs 
of Stay</t>
  </si>
  <si>
    <t>4. Equipment
Costs</t>
  </si>
  <si>
    <t>5. Subcontracting
Costs</t>
  </si>
  <si>
    <t>Total</t>
  </si>
  <si>
    <t>Budget Breakdown by Programme or Partner Countries / Budget Headings</t>
  </si>
  <si>
    <t>Countries</t>
  </si>
  <si>
    <t>Programme Countries</t>
  </si>
  <si>
    <t>Partner Countries</t>
  </si>
  <si>
    <t>Budget Breakdown by Partner / Work Package</t>
  </si>
  <si>
    <t>Partner
N°</t>
  </si>
  <si>
    <r>
      <rPr>
        <b/>
        <sz val="16"/>
        <rFont val="Arial Narrow"/>
        <family val="2"/>
      </rPr>
      <t>UNIT COSTS AND SUMMARY OF THE FUNDING RULES FOR  JOINT AND STRUCTURAL CAPACITY BUILDING PROJECTS</t>
    </r>
    <r>
      <rPr>
        <b/>
        <sz val="12"/>
        <rFont val="Arial Narrow"/>
        <family val="2"/>
      </rPr>
      <t xml:space="preserve">
You can find below the unit costs values used in this file for the calculation of the grant.
Please refer to the </t>
    </r>
    <r>
      <rPr>
        <b/>
        <i/>
        <sz val="12"/>
        <color theme="1"/>
        <rFont val="Arial Narrow"/>
        <family val="2"/>
      </rPr>
      <t>Erasmus+ Programme guide 2020*</t>
    </r>
    <r>
      <rPr>
        <b/>
        <sz val="12"/>
        <color theme="1"/>
        <rFont val="Arial Narrow"/>
        <family val="2"/>
      </rPr>
      <t xml:space="preserve"> </t>
    </r>
    <r>
      <rPr>
        <b/>
        <sz val="12"/>
        <rFont val="Arial Narrow"/>
        <family val="2"/>
      </rPr>
      <t>for a complete overview of the funding rules applying to the Joint and Structural Capacity Building Projects</t>
    </r>
    <r>
      <rPr>
        <b/>
        <sz val="12"/>
        <color rgb="FFFF0000"/>
        <rFont val="Arial Narrow"/>
        <family val="2"/>
      </rPr>
      <t xml:space="preserve"> </t>
    </r>
    <r>
      <rPr>
        <b/>
        <sz val="12"/>
        <color theme="1"/>
        <rFont val="Arial Narrow"/>
        <family val="2"/>
      </rPr>
      <t>(Part B of the guide and Annex 1).</t>
    </r>
  </si>
  <si>
    <t xml:space="preserve">* Link to Erasmus+ Programme guide 2019: </t>
  </si>
  <si>
    <t>https://ec.europa.eu/programmes/erasmus-plus/resources/documents/erasmus-programme-guide-2020_en</t>
  </si>
  <si>
    <t xml:space="preserve">* Link to CBHE Call for proposal, forms, annexes and guidelines: </t>
  </si>
  <si>
    <t>https://eacea.ec.europa.eu/erasmus-plus/funding/capacity-building-in-the-field-of-higher-education-2020_en</t>
  </si>
  <si>
    <t>A.1 Staff Costs</t>
  </si>
  <si>
    <t>A.2 &amp; B Travel Costs</t>
  </si>
  <si>
    <t>A. 3 Costs of Stay</t>
  </si>
  <si>
    <t>A.4 Equipment</t>
  </si>
  <si>
    <t>A.5 Subcontracting</t>
  </si>
  <si>
    <t>Unit costs
Contribution to the costs of staff performing tasks which are directly necessary to the achievements of the project's objectives.
Conditional: applicants will have to justify the type and volume of resources needed in relation to the implementation of the proposed activities and outputs. The contribution is provided on the  condition that the salary for the same tasks is compensated only once.</t>
  </si>
  <si>
    <t>Unit costs based on the travel distance per participant. 
Travel distances must be calculated using the distance calculator supported by the European Commission . 
The applicant must indicate the distance of a one-way travel to calculate the amount of the EU grant that will support the round trip.</t>
  </si>
  <si>
    <r>
      <t xml:space="preserve">Costs for subsistence, accommodation, local and public transport such as bus and taxi, personal or optional health insurance.
Unit costs based on the duration of the stay of the participants:
</t>
    </r>
    <r>
      <rPr>
        <b/>
        <u/>
        <sz val="11"/>
        <color theme="1"/>
        <rFont val="Arial Narrow"/>
        <family val="2"/>
      </rPr>
      <t>Staff:</t>
    </r>
    <r>
      <rPr>
        <b/>
        <sz val="11"/>
        <color theme="1"/>
        <rFont val="Arial Narrow"/>
        <family val="2"/>
      </rPr>
      <t xml:space="preserve"> 
120 EUR/day from day 1 to day 14
70 EUR/day from day 15 to day 60
50 EUR/day from day 61 to day 90 (the maximum)
</t>
    </r>
    <r>
      <rPr>
        <b/>
        <u/>
        <sz val="11"/>
        <color theme="1"/>
        <rFont val="Arial Narrow"/>
        <family val="2"/>
      </rPr>
      <t>Student:</t>
    </r>
    <r>
      <rPr>
        <b/>
        <sz val="11"/>
        <color theme="1"/>
        <rFont val="Arial Narrow"/>
        <family val="2"/>
      </rPr>
      <t xml:space="preserve"> 
55 EUR/day from day 1 to day 14
40 EUR/day from day 15 to max day 90 (the maximum)</t>
    </r>
  </si>
  <si>
    <t>Contribution for the purchase of equipment necessary for the implementation of the project. Support is provided only for equipment purchased for the benefit of the HEIs in the Partner Countries. 
Conditional: the request for financial support to cover these costs must be motivated in the application form</t>
  </si>
  <si>
    <t>Support for sub-contracting costs that are necessary to the implementation of the project, including, in particular, costs for the compulsory financial audits (audit certificate) and for any external quality assurance procedure.
Sub-contracting for project-management-related tasks is not eligible.
Sub-contracting to external bodies should be very occasional. The specific competences and particular expertise needed to reach the project objectives should be found in the consortium and should determine its composition.</t>
  </si>
  <si>
    <t>Distance</t>
  </si>
  <si>
    <t>Travel 
Costs
(EUR)</t>
  </si>
  <si>
    <t>Number of 
Days</t>
  </si>
  <si>
    <t>Student</t>
  </si>
  <si>
    <t>Staff</t>
  </si>
  <si>
    <t>100% of eligible costs
Max. 30% of the total grant</t>
  </si>
  <si>
    <t>100% of eligible costs
Max. 10% of the total grant</t>
  </si>
  <si>
    <t>Austria</t>
  </si>
  <si>
    <t>0 KM and 9 KM</t>
  </si>
  <si>
    <t>Belgium</t>
  </si>
  <si>
    <t>10 KM and 99 KM</t>
  </si>
  <si>
    <t>WorkPackage</t>
  </si>
  <si>
    <t>100 KM and 499 KM</t>
  </si>
  <si>
    <t>500 KM and 1999 KM</t>
  </si>
  <si>
    <t>Cyprus</t>
  </si>
  <si>
    <t>2000 KM and 2999 KM</t>
  </si>
  <si>
    <t>Czech Republic</t>
  </si>
  <si>
    <t>3000 KM and 3999 KM</t>
  </si>
  <si>
    <t>Denmark</t>
  </si>
  <si>
    <t>4000 KM and 7999 KM</t>
  </si>
  <si>
    <t>Estonia</t>
  </si>
  <si>
    <t>8000 KM or more</t>
  </si>
  <si>
    <t>Finland</t>
  </si>
  <si>
    <t>Category</t>
  </si>
  <si>
    <t>Republic of North Macedonia</t>
  </si>
  <si>
    <t>France</t>
  </si>
  <si>
    <t>Exceptional Costs</t>
  </si>
  <si>
    <t>Hungary</t>
  </si>
  <si>
    <t>Replace unit costs with exceptional costs</t>
  </si>
  <si>
    <t>Iceland</t>
  </si>
  <si>
    <t>Ireland</t>
  </si>
  <si>
    <t>Italy</t>
  </si>
  <si>
    <t>Latvia</t>
  </si>
  <si>
    <t>Liechtenstein</t>
  </si>
  <si>
    <t>Lithuania</t>
  </si>
  <si>
    <t>Luxembourg</t>
  </si>
  <si>
    <t>Malta</t>
  </si>
  <si>
    <t>Netherlands</t>
  </si>
  <si>
    <t>Norway</t>
  </si>
  <si>
    <t>Poland</t>
  </si>
  <si>
    <t>Portugal</t>
  </si>
  <si>
    <t>Romania</t>
  </si>
  <si>
    <t>Slovakia</t>
  </si>
  <si>
    <t>Slovenia</t>
  </si>
  <si>
    <t>Spain</t>
  </si>
  <si>
    <t>Sweden</t>
  </si>
  <si>
    <t>United Kingdom</t>
  </si>
  <si>
    <t>Afghanistan</t>
  </si>
  <si>
    <t>Algeria</t>
  </si>
  <si>
    <t>Angola</t>
  </si>
  <si>
    <t>Antigua and Barbuda</t>
  </si>
  <si>
    <t>Argentina</t>
  </si>
  <si>
    <t>Armenia</t>
  </si>
  <si>
    <t>Azerbaijan</t>
  </si>
  <si>
    <t>Bahamas</t>
  </si>
  <si>
    <t>Bangladesh</t>
  </si>
  <si>
    <t>Barbados</t>
  </si>
  <si>
    <t>Belarus</t>
  </si>
  <si>
    <t>Belize</t>
  </si>
  <si>
    <t>Benin</t>
  </si>
  <si>
    <t>Bhutan</t>
  </si>
  <si>
    <t>Bolivia</t>
  </si>
  <si>
    <t>Bosnia and Herzegovina</t>
  </si>
  <si>
    <t>Botswana</t>
  </si>
  <si>
    <t>Brazil</t>
  </si>
  <si>
    <t>Burkina Faso</t>
  </si>
  <si>
    <t>Burundi</t>
  </si>
  <si>
    <t>Cambodia</t>
  </si>
  <si>
    <t>Cameroon</t>
  </si>
  <si>
    <t>Cape Verde</t>
  </si>
  <si>
    <t>Central African Republic</t>
  </si>
  <si>
    <t>Chad</t>
  </si>
  <si>
    <t>Chile</t>
  </si>
  <si>
    <t>China</t>
  </si>
  <si>
    <t>Colombia</t>
  </si>
  <si>
    <t>Comoros</t>
  </si>
  <si>
    <t>Congo</t>
  </si>
  <si>
    <t>Congo - Republic of the-</t>
  </si>
  <si>
    <t>Cook Islands</t>
  </si>
  <si>
    <t>Costa Rica</t>
  </si>
  <si>
    <t>Cuba</t>
  </si>
  <si>
    <t>Djibouti</t>
  </si>
  <si>
    <t>Dominica</t>
  </si>
  <si>
    <t>Dominican Republic</t>
  </si>
  <si>
    <t>DPR Korea</t>
  </si>
  <si>
    <t>Ecuador</t>
  </si>
  <si>
    <t>Egypt</t>
  </si>
  <si>
    <t>El Salvador</t>
  </si>
  <si>
    <t>Equatorial Guinea</t>
  </si>
  <si>
    <t>Eritrea</t>
  </si>
  <si>
    <t>Ethiopia</t>
  </si>
  <si>
    <t>Fiji</t>
  </si>
  <si>
    <t>Gabon</t>
  </si>
  <si>
    <t>Gambia</t>
  </si>
  <si>
    <t>Georgia</t>
  </si>
  <si>
    <t>Ghana</t>
  </si>
  <si>
    <t>Grenada</t>
  </si>
  <si>
    <t>Guatemala</t>
  </si>
  <si>
    <t>Guinea</t>
  </si>
  <si>
    <t>Guinea-Bissau</t>
  </si>
  <si>
    <t>Guyana</t>
  </si>
  <si>
    <t>Haiti</t>
  </si>
  <si>
    <t>Honduras</t>
  </si>
  <si>
    <t>India</t>
  </si>
  <si>
    <t>Indonesia</t>
  </si>
  <si>
    <t>Iran</t>
  </si>
  <si>
    <t>Iraq</t>
  </si>
  <si>
    <t>Israel</t>
  </si>
  <si>
    <t>Ivory Coast</t>
  </si>
  <si>
    <t>Jamaica</t>
  </si>
  <si>
    <t>Jordan</t>
  </si>
  <si>
    <t>Kazakstan</t>
  </si>
  <si>
    <t>Kenya</t>
  </si>
  <si>
    <t>Kiribati</t>
  </si>
  <si>
    <t>Kosovo</t>
  </si>
  <si>
    <t>Kyrgyzstan</t>
  </si>
  <si>
    <t>Laos</t>
  </si>
  <si>
    <t>Lebanon</t>
  </si>
  <si>
    <t>Lesotho</t>
  </si>
  <si>
    <t>Liberia</t>
  </si>
  <si>
    <t>Libya</t>
  </si>
  <si>
    <t>Madagascar</t>
  </si>
  <si>
    <t>Malawi</t>
  </si>
  <si>
    <t>Malaysia</t>
  </si>
  <si>
    <t>Maldives</t>
  </si>
  <si>
    <t>Mali</t>
  </si>
  <si>
    <t>Marshall Islands</t>
  </si>
  <si>
    <t>Mauritania</t>
  </si>
  <si>
    <t>Mauritius</t>
  </si>
  <si>
    <t>Mexico</t>
  </si>
  <si>
    <t>Micronesia - Federated States of-</t>
  </si>
  <si>
    <t>Moldova</t>
  </si>
  <si>
    <t>Mongolia</t>
  </si>
  <si>
    <t>Morocco</t>
  </si>
  <si>
    <t>Mozambique</t>
  </si>
  <si>
    <t>Myanmar</t>
  </si>
  <si>
    <t>Namibia</t>
  </si>
  <si>
    <t>Nauru</t>
  </si>
  <si>
    <t>Nepal</t>
  </si>
  <si>
    <t>Nicaragua</t>
  </si>
  <si>
    <t>Niger</t>
  </si>
  <si>
    <t>Nigeria</t>
  </si>
  <si>
    <t>Niue</t>
  </si>
  <si>
    <t>Pakistan</t>
  </si>
  <si>
    <t>Palau</t>
  </si>
  <si>
    <t>Palestine</t>
  </si>
  <si>
    <t>Panama</t>
  </si>
  <si>
    <t>Papua New Guinea</t>
  </si>
  <si>
    <t>Paraguay</t>
  </si>
  <si>
    <t>Peru</t>
  </si>
  <si>
    <t>Philippines</t>
  </si>
  <si>
    <t>Russia</t>
  </si>
  <si>
    <t>Rwanda</t>
  </si>
  <si>
    <t>Saint Kitts and Nevis</t>
  </si>
  <si>
    <t>Saint Lucia</t>
  </si>
  <si>
    <t>Saint Vincent and the Grenadines</t>
  </si>
  <si>
    <t>Samoa</t>
  </si>
  <si>
    <t>Sao Tome and Principe</t>
  </si>
  <si>
    <t>Senegal</t>
  </si>
  <si>
    <t>Seychelles</t>
  </si>
  <si>
    <t>Sierra Leone</t>
  </si>
  <si>
    <t>Solomon Islands</t>
  </si>
  <si>
    <t>Somalia</t>
  </si>
  <si>
    <t>South Africa</t>
  </si>
  <si>
    <t>South Sudan</t>
  </si>
  <si>
    <t>Sri Lanka</t>
  </si>
  <si>
    <t>Sudan</t>
  </si>
  <si>
    <t>Suriname</t>
  </si>
  <si>
    <t>Eswatini</t>
  </si>
  <si>
    <t>Syria</t>
  </si>
  <si>
    <t>Tajikistan</t>
  </si>
  <si>
    <t>Tanzania</t>
  </si>
  <si>
    <t>Thailand</t>
  </si>
  <si>
    <t>Timor Leste - Republic of-</t>
  </si>
  <si>
    <t>Togo</t>
  </si>
  <si>
    <t>Tonga</t>
  </si>
  <si>
    <t>Trinidad and Tobago</t>
  </si>
  <si>
    <t>Tunisia</t>
  </si>
  <si>
    <t>Turkmenistan</t>
  </si>
  <si>
    <t>Tuvalu</t>
  </si>
  <si>
    <t>Uganda</t>
  </si>
  <si>
    <t>Ukraine</t>
  </si>
  <si>
    <t>Uruguay</t>
  </si>
  <si>
    <t>Uzbekistan</t>
  </si>
  <si>
    <t>Vanuatu</t>
  </si>
  <si>
    <t>Venezuela</t>
  </si>
  <si>
    <t>Vietnam</t>
  </si>
  <si>
    <t>Yemen</t>
  </si>
  <si>
    <t>Zambia</t>
  </si>
  <si>
    <t>Zimbabwe</t>
  </si>
  <si>
    <t>Istanbul</t>
  </si>
  <si>
    <t>Novi Pazar</t>
  </si>
  <si>
    <t>Zagrareb</t>
  </si>
  <si>
    <t>Sofija</t>
  </si>
  <si>
    <t>Mainz</t>
  </si>
  <si>
    <t>Tirana</t>
  </si>
  <si>
    <t>Munchen</t>
  </si>
  <si>
    <t>Podgorica</t>
  </si>
  <si>
    <t>Beograd</t>
  </si>
  <si>
    <t>Solun</t>
  </si>
  <si>
    <t>Split</t>
  </si>
  <si>
    <t>Subotica</t>
  </si>
  <si>
    <t>Hamburg</t>
  </si>
  <si>
    <t>Kraljevo</t>
  </si>
  <si>
    <t>Kragujevac</t>
  </si>
  <si>
    <t>Nis</t>
  </si>
  <si>
    <t>Berlin</t>
  </si>
  <si>
    <t>Berana</t>
  </si>
  <si>
    <t>krf</t>
  </si>
  <si>
    <t>Atina</t>
  </si>
  <si>
    <t>Hoffenheim</t>
  </si>
  <si>
    <t>Rozaje</t>
  </si>
  <si>
    <t>Kabrovo</t>
  </si>
  <si>
    <t>Dubrovnik</t>
  </si>
  <si>
    <t>Drach</t>
  </si>
  <si>
    <t>Loznica</t>
  </si>
  <si>
    <t>Sjenica</t>
  </si>
  <si>
    <t>Ankara</t>
  </si>
  <si>
    <t>Bohum</t>
  </si>
  <si>
    <t>Vrnjacka Banja</t>
  </si>
  <si>
    <t>Vukovar</t>
  </si>
  <si>
    <t>Veria</t>
  </si>
  <si>
    <t>Ministarstvo zaštite životne sredine</t>
  </si>
  <si>
    <t>30 laptopova (AMD Renoir Ryzen 7 4700U, 8C/8T, 1 TB M.2 PCIe x4 SSD, AMD Radeon Vega 7, 7 CUs, 1.6 GHz)</t>
  </si>
  <si>
    <t>Ostatak neophodne opreme potrebne za razvijanje softvera</t>
  </si>
  <si>
    <t>Potreban prostor(kancelarije, ucionice)</t>
  </si>
  <si>
    <t xml:space="preserve">Prijavljeno osoblje koje će na lokalu učestvovati u diseminaciji projekta, osobe zadužene za izradu televizijskih reklama </t>
  </si>
  <si>
    <t>Prijavljeno osoblje koje će na lokalu učestvovati u diseminaciji projekta, osobe zadužene za promociju putem društvenih mreža</t>
  </si>
  <si>
    <t>Prijavljeno osoblje koje će na lokalu učestvovati u diseminaciji projekta, osobe zadužene za promociju putem internet reklama</t>
  </si>
  <si>
    <t>Prijavljeno osoblje koje će vršiti eksternu reviziju projekta.</t>
  </si>
  <si>
    <t>Finansira troškove pripreme materijala za seminar</t>
  </si>
  <si>
    <t>KBC Bank Bulgaria</t>
  </si>
  <si>
    <t>Potrebna sredstva za: troškove putovanja i odsedanja za dodatno osoblje (3 dana x 25 osoba x 500 eura)</t>
  </si>
  <si>
    <t>Potrebna sredstva za implementaciju i razvoj softvera.</t>
  </si>
  <si>
    <t>Finansira troškove putovanja i odsedanja</t>
  </si>
  <si>
    <t>HLK bank</t>
  </si>
  <si>
    <t>Addiko bank</t>
  </si>
  <si>
    <t>Potrebna sredstva za: pripremu materijala za seminar (3 dana x 10 sati x 36 osoba x 35 eura)</t>
  </si>
  <si>
    <t>Finasira troškove pilot projekata.</t>
  </si>
  <si>
    <t>Potrebna sredstva za pilot projekte(300 buradi x 50eura, 18 radnika x 7 dana x 160eura, 12 advokata x 10 dana x 135 eura, 2 advokata x 24 dana x 180 eura  )</t>
  </si>
  <si>
    <t>Deutsche Bank</t>
  </si>
  <si>
    <t>Izmir</t>
  </si>
  <si>
    <t>Gornji Milanovac</t>
  </si>
  <si>
    <t>Gabrovo</t>
  </si>
  <si>
    <t>Vranje</t>
  </si>
  <si>
    <t>Edirne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</si>
</sst>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164" formatCode="_ * #,##0.00_ ;_ * \-#,##0.00_ ;_ * &quot;-&quot;??_ ;_ @_ "/>
    <numFmt numFmtId="165" formatCode="#,##0_ ;\-#,##0\ "/>
    <numFmt numFmtId="166" formatCode="#,##0.0_ ;\-#,##0.0\ "/>
    <numFmt numFmtId="167" formatCode="#,##0.00_ ;\-#,##0.00\ "/>
    <numFmt numFmtId="168" formatCode="#,##0\ &quot;Participant(s)&quot;"/>
    <numFmt numFmtId="169" formatCode="&quot;Total Student (in EUR)&quot;\ #,##0.00"/>
    <numFmt numFmtId="170" formatCode="&quot;Total Staff (in EUR)&quot;\ #,##0.00"/>
    <numFmt numFmtId="171" formatCode="#,##0\ &quot;Student(s)&quot;"/>
    <numFmt numFmtId="172" formatCode="#,##0\ &quot;Staff&quot;"/>
    <numFmt numFmtId="173" formatCode="&quot;Total (Student+Staff)&quot;\ #,##0.00"/>
  </numFmts>
  <fonts count="39" x14ac:knownFonts="1">
    <font>
      <sz val="11"/>
      <color theme="1"/>
      <name val="Calibri"/>
      <family val="2"/>
      <scheme val="minor"/>
    </font>
    <font>
      <u/>
      <sz val="10"/>
      <color indexed="12"/>
      <name val="Arial"/>
      <family val="2"/>
    </font>
    <font>
      <sz val="11"/>
      <color theme="1"/>
      <name val="Calibri"/>
      <family val="2"/>
      <scheme val="minor"/>
    </font>
    <font>
      <sz val="10"/>
      <name val="Arial"/>
      <family val="2"/>
    </font>
    <font>
      <sz val="14"/>
      <name val="Arial Narrow"/>
      <family val="2"/>
    </font>
    <font>
      <b/>
      <sz val="14"/>
      <name val="Arial Narrow"/>
      <family val="2"/>
    </font>
    <font>
      <sz val="14"/>
      <color rgb="FFFF0000"/>
      <name val="Arial Narrow"/>
      <family val="2"/>
    </font>
    <font>
      <b/>
      <sz val="14"/>
      <color rgb="FFFF0000"/>
      <name val="Arial Narrow"/>
      <family val="2"/>
    </font>
    <font>
      <b/>
      <sz val="14"/>
      <color theme="1"/>
      <name val="Arial Narrow"/>
      <family val="2"/>
    </font>
    <font>
      <sz val="18"/>
      <name val="Arial Narrow"/>
      <family val="2"/>
    </font>
    <font>
      <b/>
      <sz val="18"/>
      <name val="Arial Narrow"/>
      <family val="2"/>
    </font>
    <font>
      <b/>
      <sz val="14"/>
      <name val="Arial"/>
      <family val="2"/>
    </font>
    <font>
      <sz val="14"/>
      <name val="Arial"/>
      <family val="2"/>
    </font>
    <font>
      <b/>
      <u/>
      <sz val="14"/>
      <name val="Arial Narrow"/>
      <family val="2"/>
    </font>
    <font>
      <sz val="14"/>
      <color theme="1"/>
      <name val="Arial Narrow"/>
      <family val="2"/>
    </font>
    <font>
      <i/>
      <sz val="14"/>
      <name val="Arial Narrow"/>
      <family val="2"/>
    </font>
    <font>
      <u/>
      <sz val="11"/>
      <color theme="10"/>
      <name val="Calibri"/>
      <family val="2"/>
      <scheme val="minor"/>
    </font>
    <font>
      <b/>
      <sz val="12"/>
      <name val="Arial"/>
      <family val="2"/>
    </font>
    <font>
      <b/>
      <sz val="10"/>
      <name val="Arial Narrow"/>
      <family val="2"/>
    </font>
    <font>
      <sz val="11"/>
      <color theme="1"/>
      <name val="Arial Narrow"/>
      <family val="2"/>
    </font>
    <font>
      <b/>
      <sz val="12"/>
      <name val="Arial Narrow"/>
      <family val="2"/>
    </font>
    <font>
      <b/>
      <sz val="16"/>
      <name val="Arial Narrow"/>
      <family val="2"/>
    </font>
    <font>
      <b/>
      <i/>
      <sz val="12"/>
      <color theme="1"/>
      <name val="Arial Narrow"/>
      <family val="2"/>
    </font>
    <font>
      <b/>
      <sz val="12"/>
      <color theme="1"/>
      <name val="Arial Narrow"/>
      <family val="2"/>
    </font>
    <font>
      <b/>
      <sz val="12"/>
      <color rgb="FFFF0000"/>
      <name val="Arial Narrow"/>
      <family val="2"/>
    </font>
    <font>
      <u/>
      <sz val="16"/>
      <color indexed="12"/>
      <name val="Arial Narrow"/>
      <family val="2"/>
    </font>
    <font>
      <u/>
      <sz val="11"/>
      <color rgb="FFFF0000"/>
      <name val="Arial Narrow"/>
      <family val="2"/>
    </font>
    <font>
      <b/>
      <sz val="11"/>
      <color theme="1"/>
      <name val="Arial Narrow"/>
      <family val="2"/>
    </font>
    <font>
      <sz val="11"/>
      <color rgb="FFFF0000"/>
      <name val="Arial Narrow"/>
      <family val="2"/>
    </font>
    <font>
      <b/>
      <u/>
      <sz val="11"/>
      <color theme="1"/>
      <name val="Arial Narrow"/>
      <family val="2"/>
    </font>
    <font>
      <b/>
      <sz val="14"/>
      <color theme="0"/>
      <name val="Arial Narrow"/>
      <family val="2"/>
    </font>
    <font>
      <sz val="11"/>
      <color theme="0"/>
      <name val="Arial Narrow"/>
      <family val="2"/>
    </font>
    <font>
      <b/>
      <sz val="12"/>
      <color theme="1"/>
      <name val="Calibri"/>
      <family val="2"/>
      <scheme val="minor"/>
    </font>
    <font>
      <sz val="12"/>
      <color rgb="FFFF0000"/>
      <name val="Arial Narrow"/>
      <family val="2"/>
    </font>
    <font>
      <sz val="11"/>
      <name val="Arial Narrow"/>
      <family val="2"/>
    </font>
    <font>
      <u/>
      <sz val="16"/>
      <color indexed="12"/>
      <name val="Arial"/>
      <family val="2"/>
    </font>
    <font>
      <b/>
      <u/>
      <sz val="18"/>
      <color indexed="12"/>
      <name val="Arial"/>
      <family val="2"/>
    </font>
    <font>
      <b/>
      <sz val="18"/>
      <name val="Arial"/>
      <family val="2"/>
    </font>
    <font>
      <b/>
      <sz val="14"/>
      <color rgb="FFFF0000"/>
      <name val="Calibri"/>
      <family val="2"/>
      <scheme val="minor"/>
    </font>
  </fonts>
  <fills count="11">
    <fill>
      <patternFill patternType="none"/>
    </fill>
    <fill>
      <patternFill patternType="gray125"/>
    </fill>
    <fill>
      <patternFill patternType="solid">
        <fgColor theme="6"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0"/>
        <bgColor indexed="64"/>
      </patternFill>
    </fill>
    <fill>
      <patternFill patternType="solid">
        <fgColor theme="4"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s>
  <cellStyleXfs count="6">
    <xf numFmtId="0" fontId="0" fillId="0" borderId="0"/>
    <xf numFmtId="164" fontId="2" fillId="0" borderId="0" applyFont="0" applyFill="0" applyBorder="0" applyAlignment="0" applyProtection="0"/>
    <xf numFmtId="0" fontId="1" fillId="0" borderId="0" applyNumberFormat="0" applyFill="0" applyBorder="0" applyAlignment="0" applyProtection="0">
      <alignment vertical="top"/>
      <protection locked="0"/>
    </xf>
    <xf numFmtId="0" fontId="3" fillId="0" borderId="0"/>
    <xf numFmtId="0" fontId="16" fillId="0" borderId="0" applyNumberFormat="0" applyFill="0" applyBorder="0" applyAlignment="0" applyProtection="0"/>
    <xf numFmtId="9" fontId="2" fillId="0" borderId="0" applyFont="0" applyFill="0" applyBorder="0" applyAlignment="0" applyProtection="0"/>
  </cellStyleXfs>
  <cellXfs count="253">
    <xf numFmtId="0" fontId="0" fillId="0" borderId="0" xfId="0"/>
    <xf numFmtId="0" fontId="4" fillId="0" borderId="0" xfId="0" applyFont="1"/>
    <xf numFmtId="0" fontId="4" fillId="0" borderId="0" xfId="0" applyFont="1" applyAlignment="1">
      <alignment horizontal="left"/>
    </xf>
    <xf numFmtId="0" fontId="6" fillId="0" borderId="0" xfId="0" applyFont="1" applyAlignment="1">
      <alignment vertical="center"/>
    </xf>
    <xf numFmtId="0" fontId="4" fillId="0" borderId="0" xfId="0" applyFont="1" applyProtection="1">
      <protection hidden="1"/>
    </xf>
    <xf numFmtId="0" fontId="5" fillId="0" borderId="0" xfId="0" applyFont="1" applyAlignment="1" applyProtection="1">
      <alignment horizontal="left" vertical="center"/>
      <protection hidden="1"/>
    </xf>
    <xf numFmtId="0" fontId="5" fillId="0" borderId="0" xfId="0" applyFont="1" applyProtection="1">
      <protection hidden="1"/>
    </xf>
    <xf numFmtId="0" fontId="4" fillId="0" borderId="0" xfId="0" applyFont="1" applyAlignment="1" applyProtection="1">
      <alignment horizontal="center"/>
      <protection hidden="1"/>
    </xf>
    <xf numFmtId="0" fontId="5" fillId="5" borderId="1" xfId="0" applyFont="1" applyFill="1" applyBorder="1" applyAlignment="1" applyProtection="1">
      <alignment horizontal="center" vertical="center"/>
      <protection locked="0"/>
    </xf>
    <xf numFmtId="167" fontId="5" fillId="0" borderId="1" xfId="0" applyNumberFormat="1" applyFont="1" applyBorder="1" applyAlignment="1" applyProtection="1">
      <alignment horizontal="right" vertical="center"/>
      <protection hidden="1"/>
    </xf>
    <xf numFmtId="167" fontId="5" fillId="3" borderId="1" xfId="0" applyNumberFormat="1" applyFont="1" applyFill="1" applyBorder="1" applyAlignment="1" applyProtection="1">
      <alignment horizontal="right" vertical="center"/>
      <protection hidden="1"/>
    </xf>
    <xf numFmtId="3" fontId="5" fillId="3" borderId="1" xfId="0" applyNumberFormat="1" applyFont="1" applyFill="1" applyBorder="1" applyAlignment="1" applyProtection="1">
      <alignment horizontal="center" vertical="center"/>
      <protection hidden="1"/>
    </xf>
    <xf numFmtId="3" fontId="5" fillId="3" borderId="1" xfId="0" applyNumberFormat="1" applyFont="1" applyFill="1" applyBorder="1" applyAlignment="1" applyProtection="1">
      <alignment horizontal="center" vertical="center" wrapText="1"/>
      <protection hidden="1"/>
    </xf>
    <xf numFmtId="0" fontId="8" fillId="3" borderId="1" xfId="0" applyFont="1" applyFill="1" applyBorder="1" applyAlignment="1">
      <alignment horizontal="center" vertical="center" wrapText="1"/>
    </xf>
    <xf numFmtId="0" fontId="4" fillId="5" borderId="1" xfId="0" applyFont="1" applyFill="1" applyBorder="1" applyAlignment="1" applyProtection="1">
      <alignment horizontal="left" vertical="center"/>
      <protection locked="0"/>
    </xf>
    <xf numFmtId="0" fontId="4" fillId="0" borderId="1" xfId="0" applyFont="1" applyBorder="1" applyAlignment="1">
      <alignment horizontal="left" vertical="center"/>
    </xf>
    <xf numFmtId="164" fontId="4" fillId="0" borderId="1" xfId="1" applyFont="1" applyFill="1" applyBorder="1" applyAlignment="1" applyProtection="1">
      <alignment horizontal="right" vertical="center"/>
      <protection hidden="1"/>
    </xf>
    <xf numFmtId="164" fontId="5" fillId="3" borderId="1" xfId="1" applyFont="1" applyFill="1" applyBorder="1" applyAlignment="1" applyProtection="1">
      <alignment horizontal="right" vertical="center"/>
      <protection hidden="1"/>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center" vertical="center"/>
      <protection locked="0"/>
    </xf>
    <xf numFmtId="0" fontId="5" fillId="0" borderId="0" xfId="0" applyFont="1"/>
    <xf numFmtId="164" fontId="4" fillId="0" borderId="1" xfId="0" applyNumberFormat="1" applyFont="1" applyBorder="1" applyAlignment="1" applyProtection="1">
      <alignment horizontal="right" vertical="center"/>
      <protection hidden="1"/>
    </xf>
    <xf numFmtId="164" fontId="4" fillId="0" borderId="1" xfId="0" applyNumberFormat="1" applyFont="1" applyBorder="1" applyAlignment="1">
      <alignment horizontal="right" vertical="center"/>
    </xf>
    <xf numFmtId="164" fontId="5" fillId="3" borderId="1" xfId="0" applyNumberFormat="1" applyFont="1" applyFill="1" applyBorder="1" applyAlignment="1">
      <alignment horizontal="right" vertical="center"/>
    </xf>
    <xf numFmtId="166" fontId="12" fillId="0" borderId="1" xfId="0" applyNumberFormat="1" applyFont="1" applyBorder="1" applyAlignment="1" applyProtection="1">
      <alignment horizontal="right" vertical="center"/>
      <protection hidden="1"/>
    </xf>
    <xf numFmtId="166" fontId="11" fillId="3" borderId="1" xfId="0" applyNumberFormat="1" applyFont="1" applyFill="1" applyBorder="1" applyAlignment="1" applyProtection="1">
      <alignment horizontal="right" vertical="center"/>
      <protection hidden="1"/>
    </xf>
    <xf numFmtId="167" fontId="11" fillId="3" borderId="1" xfId="0" applyNumberFormat="1" applyFont="1" applyFill="1" applyBorder="1" applyAlignment="1" applyProtection="1">
      <alignment horizontal="right" vertical="center"/>
      <protection hidden="1"/>
    </xf>
    <xf numFmtId="0" fontId="5" fillId="3" borderId="1" xfId="2" applyFont="1" applyFill="1" applyBorder="1" applyAlignment="1" applyProtection="1">
      <alignment horizontal="center" vertical="center" wrapText="1"/>
      <protection hidden="1"/>
    </xf>
    <xf numFmtId="166" fontId="4" fillId="5" borderId="1" xfId="0" applyNumberFormat="1" applyFont="1" applyFill="1" applyBorder="1" applyAlignment="1" applyProtection="1">
      <alignment horizontal="center" vertical="center"/>
      <protection locked="0"/>
    </xf>
    <xf numFmtId="4" fontId="4" fillId="0" borderId="1" xfId="0" applyNumberFormat="1" applyFont="1" applyBorder="1" applyAlignment="1" applyProtection="1">
      <alignment horizontal="right" vertical="center"/>
      <protection hidden="1"/>
    </xf>
    <xf numFmtId="4" fontId="4" fillId="0" borderId="1" xfId="1" applyNumberFormat="1" applyFont="1" applyFill="1" applyBorder="1" applyAlignment="1" applyProtection="1">
      <alignment horizontal="right" vertical="center"/>
      <protection hidden="1"/>
    </xf>
    <xf numFmtId="4" fontId="4" fillId="3" borderId="1" xfId="1" applyNumberFormat="1" applyFont="1" applyFill="1" applyBorder="1" applyAlignment="1" applyProtection="1">
      <alignment horizontal="right" vertical="center"/>
      <protection hidden="1"/>
    </xf>
    <xf numFmtId="4" fontId="4" fillId="3" borderId="1" xfId="0" applyNumberFormat="1" applyFont="1" applyFill="1" applyBorder="1" applyAlignment="1" applyProtection="1">
      <alignment horizontal="right" vertical="center"/>
      <protection hidden="1"/>
    </xf>
    <xf numFmtId="0" fontId="5" fillId="0" borderId="1" xfId="0" applyFont="1" applyBorder="1" applyAlignment="1">
      <alignment horizontal="center" vertical="center"/>
    </xf>
    <xf numFmtId="0" fontId="4" fillId="0" borderId="0" xfId="0" applyFont="1" applyAlignment="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lignment horizontal="right" vertical="center"/>
    </xf>
    <xf numFmtId="167" fontId="4" fillId="0" borderId="1" xfId="0" applyNumberFormat="1" applyFont="1" applyBorder="1" applyAlignment="1" applyProtection="1">
      <alignment horizontal="right" vertical="center"/>
      <protection hidden="1"/>
    </xf>
    <xf numFmtId="167" fontId="4" fillId="3" borderId="1" xfId="0" applyNumberFormat="1" applyFont="1" applyFill="1" applyBorder="1" applyAlignment="1" applyProtection="1">
      <alignment horizontal="right" vertical="center"/>
      <protection hidden="1"/>
    </xf>
    <xf numFmtId="0" fontId="15" fillId="0" borderId="0" xfId="0" applyFont="1"/>
    <xf numFmtId="10" fontId="5" fillId="3" borderId="1" xfId="0" applyNumberFormat="1" applyFont="1" applyFill="1" applyBorder="1" applyAlignment="1" applyProtection="1">
      <alignment horizontal="center" vertical="center"/>
      <protection hidden="1"/>
    </xf>
    <xf numFmtId="167" fontId="12" fillId="0" borderId="1" xfId="0" applyNumberFormat="1" applyFont="1" applyBorder="1" applyAlignment="1" applyProtection="1">
      <alignment horizontal="right" vertical="center"/>
      <protection hidden="1"/>
    </xf>
    <xf numFmtId="0" fontId="4" fillId="0" borderId="1" xfId="0" applyFont="1" applyBorder="1" applyAlignment="1" applyProtection="1">
      <alignment horizontal="left" vertical="center" wrapText="1"/>
      <protection hidden="1"/>
    </xf>
    <xf numFmtId="3" fontId="5" fillId="3" borderId="1" xfId="0" applyNumberFormat="1" applyFont="1" applyFill="1" applyBorder="1" applyAlignment="1" applyProtection="1">
      <alignment horizontal="right" vertical="center" indent="1"/>
      <protection hidden="1"/>
    </xf>
    <xf numFmtId="0" fontId="5" fillId="3" borderId="1" xfId="0" applyFont="1" applyFill="1" applyBorder="1" applyAlignment="1" applyProtection="1">
      <alignment horizontal="center" vertical="center"/>
      <protection hidden="1"/>
    </xf>
    <xf numFmtId="0" fontId="5" fillId="0" borderId="0" xfId="0" applyFont="1" applyAlignment="1">
      <alignment horizontal="center"/>
    </xf>
    <xf numFmtId="0" fontId="5" fillId="3" borderId="1"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protection hidden="1"/>
    </xf>
    <xf numFmtId="10" fontId="5" fillId="0" borderId="5" xfId="0" applyNumberFormat="1" applyFont="1" applyBorder="1" applyAlignment="1" applyProtection="1">
      <alignment vertical="center"/>
      <protection hidden="1"/>
    </xf>
    <xf numFmtId="10" fontId="5" fillId="0" borderId="0" xfId="0" applyNumberFormat="1" applyFont="1" applyAlignment="1" applyProtection="1">
      <alignment vertical="center"/>
      <protection hidden="1"/>
    </xf>
    <xf numFmtId="4" fontId="4" fillId="0" borderId="1" xfId="0" applyNumberFormat="1" applyFont="1" applyBorder="1" applyAlignment="1" applyProtection="1">
      <alignment vertical="center"/>
      <protection hidden="1"/>
    </xf>
    <xf numFmtId="4" fontId="4" fillId="0" borderId="12" xfId="0" applyNumberFormat="1" applyFont="1" applyBorder="1" applyAlignment="1" applyProtection="1">
      <alignment vertical="center"/>
      <protection hidden="1"/>
    </xf>
    <xf numFmtId="0" fontId="19" fillId="0" borderId="0" xfId="0" applyFont="1" applyAlignment="1">
      <alignment vertical="center"/>
    </xf>
    <xf numFmtId="0" fontId="18" fillId="0" borderId="0" xfId="0" applyFont="1" applyAlignment="1">
      <alignment horizontal="left" vertical="center" wrapText="1"/>
    </xf>
    <xf numFmtId="0" fontId="25" fillId="0" borderId="0" xfId="2" applyFont="1" applyAlignment="1" applyProtection="1">
      <alignment vertical="center"/>
    </xf>
    <xf numFmtId="0" fontId="19" fillId="0" borderId="0" xfId="0" applyFont="1"/>
    <xf numFmtId="0" fontId="26" fillId="0" borderId="0" xfId="4" applyFont="1" applyBorder="1" applyAlignment="1" applyProtection="1">
      <alignment vertical="center"/>
    </xf>
    <xf numFmtId="0" fontId="28" fillId="0" borderId="0" xfId="0" applyFont="1" applyAlignment="1">
      <alignment horizontal="left" vertical="center"/>
    </xf>
    <xf numFmtId="0" fontId="28" fillId="0" borderId="0" xfId="0" applyFont="1" applyAlignment="1">
      <alignment vertical="center"/>
    </xf>
    <xf numFmtId="0" fontId="27" fillId="3" borderId="1" xfId="0" applyFont="1" applyFill="1" applyBorder="1" applyAlignment="1">
      <alignment horizontal="center" vertical="center"/>
    </xf>
    <xf numFmtId="0" fontId="27" fillId="3" borderId="1" xfId="0" applyFont="1" applyFill="1" applyBorder="1" applyAlignment="1">
      <alignment horizontal="center" vertical="center" wrapText="1"/>
    </xf>
    <xf numFmtId="0" fontId="19" fillId="7" borderId="1" xfId="0" applyFont="1" applyFill="1" applyBorder="1"/>
    <xf numFmtId="4" fontId="19" fillId="7" borderId="1" xfId="0" applyNumberFormat="1" applyFont="1" applyFill="1" applyBorder="1"/>
    <xf numFmtId="0" fontId="19" fillId="6" borderId="1" xfId="0" applyFont="1" applyFill="1" applyBorder="1"/>
    <xf numFmtId="1" fontId="19" fillId="0" borderId="1" xfId="0" applyNumberFormat="1" applyFont="1" applyBorder="1" applyAlignment="1">
      <alignment horizontal="center" vertical="center"/>
    </xf>
    <xf numFmtId="4" fontId="19" fillId="0" borderId="0" xfId="0" applyNumberFormat="1" applyFont="1"/>
    <xf numFmtId="0" fontId="30" fillId="0" borderId="0" xfId="0" applyFont="1" applyAlignment="1">
      <alignment horizontal="center" vertical="center"/>
    </xf>
    <xf numFmtId="0" fontId="31" fillId="0" borderId="0" xfId="0" applyFont="1" applyAlignment="1">
      <alignment vertical="center"/>
    </xf>
    <xf numFmtId="0" fontId="31" fillId="0" borderId="0" xfId="0" applyFont="1"/>
    <xf numFmtId="4" fontId="19" fillId="2" borderId="1" xfId="0" applyNumberFormat="1" applyFont="1" applyFill="1" applyBorder="1"/>
    <xf numFmtId="4" fontId="19" fillId="8" borderId="1" xfId="0" applyNumberFormat="1" applyFont="1" applyFill="1" applyBorder="1" applyAlignment="1">
      <alignment horizontal="right"/>
    </xf>
    <xf numFmtId="4" fontId="19" fillId="6" borderId="1" xfId="0" applyNumberFormat="1" applyFont="1" applyFill="1" applyBorder="1"/>
    <xf numFmtId="1" fontId="19" fillId="0" borderId="12" xfId="0" applyNumberFormat="1" applyFont="1" applyBorder="1" applyAlignment="1">
      <alignment horizontal="center" vertical="center"/>
    </xf>
    <xf numFmtId="4" fontId="19" fillId="6" borderId="1" xfId="0" applyNumberFormat="1" applyFont="1" applyFill="1" applyBorder="1" applyAlignment="1">
      <alignment horizontal="right"/>
    </xf>
    <xf numFmtId="1" fontId="19" fillId="0" borderId="0" xfId="0" applyNumberFormat="1" applyFont="1"/>
    <xf numFmtId="0" fontId="5" fillId="0" borderId="1" xfId="0" applyFont="1" applyBorder="1" applyAlignment="1">
      <alignment horizontal="left" vertical="center" indent="1"/>
    </xf>
    <xf numFmtId="10" fontId="5" fillId="0" borderId="9" xfId="0" applyNumberFormat="1" applyFont="1" applyBorder="1" applyAlignment="1" applyProtection="1">
      <alignment vertical="center"/>
      <protection hidden="1"/>
    </xf>
    <xf numFmtId="0" fontId="14" fillId="5" borderId="1" xfId="0" applyFont="1" applyFill="1" applyBorder="1" applyAlignment="1" applyProtection="1">
      <alignment horizontal="left" vertical="center"/>
      <protection locked="0"/>
    </xf>
    <xf numFmtId="165" fontId="14" fillId="5" borderId="1" xfId="0" applyNumberFormat="1" applyFont="1" applyFill="1" applyBorder="1" applyAlignment="1" applyProtection="1">
      <alignment horizontal="center" vertical="center"/>
      <protection locked="0"/>
    </xf>
    <xf numFmtId="0" fontId="32" fillId="4" borderId="6" xfId="0" applyFont="1" applyFill="1" applyBorder="1"/>
    <xf numFmtId="0" fontId="0" fillId="4" borderId="6" xfId="0" applyFill="1" applyBorder="1"/>
    <xf numFmtId="0" fontId="0" fillId="9" borderId="15" xfId="0" applyFill="1" applyBorder="1" applyAlignment="1">
      <alignment horizontal="left" indent="1"/>
    </xf>
    <xf numFmtId="0" fontId="0" fillId="9" borderId="0" xfId="0" applyFill="1" applyAlignment="1">
      <alignment horizontal="left" indent="1"/>
    </xf>
    <xf numFmtId="0" fontId="0" fillId="9" borderId="6" xfId="0" applyFill="1" applyBorder="1" applyAlignment="1">
      <alignment horizontal="left" indent="1"/>
    </xf>
    <xf numFmtId="0" fontId="0" fillId="9" borderId="0" xfId="0" applyFill="1"/>
    <xf numFmtId="0" fontId="5" fillId="0" borderId="3" xfId="0" applyFont="1" applyBorder="1" applyAlignment="1">
      <alignment horizontal="center"/>
    </xf>
    <xf numFmtId="0" fontId="5" fillId="0" borderId="7" xfId="0" applyFont="1" applyBorder="1" applyAlignment="1">
      <alignment horizontal="center"/>
    </xf>
    <xf numFmtId="0" fontId="5" fillId="3" borderId="1" xfId="2" applyFont="1" applyFill="1" applyBorder="1" applyAlignment="1" applyProtection="1">
      <alignment horizontal="center" vertical="center"/>
      <protection hidden="1"/>
    </xf>
    <xf numFmtId="0" fontId="34" fillId="0" borderId="0" xfId="0" applyFont="1"/>
    <xf numFmtId="0" fontId="5" fillId="0" borderId="0" xfId="0" applyFont="1" applyAlignment="1" applyProtection="1">
      <alignment vertical="center"/>
      <protection hidden="1"/>
    </xf>
    <xf numFmtId="0" fontId="5" fillId="0" borderId="1" xfId="0" applyFont="1" applyBorder="1" applyAlignment="1" applyProtection="1">
      <alignment horizontal="center" vertical="center"/>
      <protection hidden="1"/>
    </xf>
    <xf numFmtId="167" fontId="4" fillId="5" borderId="1" xfId="0" applyNumberFormat="1" applyFont="1" applyFill="1" applyBorder="1" applyAlignment="1" applyProtection="1">
      <alignment horizontal="center" vertical="center"/>
      <protection locked="0" hidden="1"/>
    </xf>
    <xf numFmtId="167" fontId="4" fillId="5" borderId="1" xfId="0" applyNumberFormat="1" applyFont="1" applyFill="1" applyBorder="1" applyAlignment="1" applyProtection="1">
      <alignment horizontal="right" vertical="center"/>
      <protection locked="0" hidden="1"/>
    </xf>
    <xf numFmtId="0" fontId="5" fillId="0" borderId="9" xfId="0" applyFont="1" applyBorder="1"/>
    <xf numFmtId="4" fontId="4" fillId="0" borderId="0" xfId="0" applyNumberFormat="1" applyFont="1"/>
    <xf numFmtId="10" fontId="4" fillId="0" borderId="0" xfId="5" applyNumberFormat="1" applyFont="1" applyFill="1" applyBorder="1" applyAlignment="1" applyProtection="1"/>
    <xf numFmtId="0" fontId="25" fillId="0" borderId="0" xfId="2" applyFont="1" applyFill="1" applyAlignment="1" applyProtection="1">
      <alignment vertical="center"/>
    </xf>
    <xf numFmtId="0" fontId="35" fillId="9" borderId="0" xfId="2" applyFont="1" applyFill="1" applyAlignment="1" applyProtection="1">
      <alignment vertical="center"/>
    </xf>
    <xf numFmtId="0" fontId="4" fillId="5" borderId="1" xfId="0" applyFont="1" applyFill="1" applyBorder="1" applyAlignment="1" applyProtection="1">
      <alignment horizontal="left" vertical="center"/>
      <protection locked="0"/>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center" vertical="center"/>
      <protection locked="0"/>
    </xf>
    <xf numFmtId="0" fontId="5" fillId="0" borderId="1" xfId="0" applyFont="1" applyBorder="1" applyAlignment="1">
      <alignment horizontal="center" vertical="center"/>
    </xf>
    <xf numFmtId="0" fontId="4" fillId="0" borderId="0" xfId="0" applyFont="1" applyAlignment="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lignment horizontal="right" vertical="center"/>
    </xf>
    <xf numFmtId="0" fontId="4" fillId="0" borderId="1" xfId="0" applyFont="1" applyBorder="1" applyAlignment="1" applyProtection="1">
      <alignment horizontal="left" vertical="center" wrapText="1"/>
      <protection hidden="1"/>
    </xf>
    <xf numFmtId="0" fontId="4" fillId="5" borderId="1" xfId="0" applyFont="1" applyFill="1" applyBorder="1" applyAlignment="1" applyProtection="1">
      <alignment horizontal="left" vertical="center"/>
      <protection locked="0"/>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center" vertical="center"/>
      <protection locked="0"/>
    </xf>
    <xf numFmtId="0" fontId="5" fillId="0" borderId="1" xfId="0" applyFont="1" applyBorder="1" applyAlignment="1">
      <alignment horizontal="center" vertical="center"/>
    </xf>
    <xf numFmtId="0" fontId="4" fillId="0" borderId="0" xfId="0" applyFont="1" applyAlignment="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lignment horizontal="right" vertical="center"/>
    </xf>
    <xf numFmtId="0" fontId="4" fillId="0" borderId="1" xfId="0" applyFont="1" applyBorder="1" applyAlignment="1" applyProtection="1">
      <alignment horizontal="left" vertical="center" wrapText="1"/>
      <protection hidden="1"/>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left" vertical="center"/>
      <protection locked="0"/>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center" vertical="center"/>
      <protection locked="0"/>
    </xf>
    <xf numFmtId="0" fontId="5" fillId="0" borderId="1" xfId="0" applyFont="1" applyBorder="1" applyAlignment="1">
      <alignment horizontal="center" vertical="center"/>
    </xf>
    <xf numFmtId="0" fontId="4" fillId="0" borderId="0" xfId="0" applyFont="1" applyAlignment="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lignment horizontal="right" vertical="center"/>
    </xf>
    <xf numFmtId="0" fontId="4" fillId="0" borderId="1" xfId="0" applyFont="1" applyBorder="1" applyAlignment="1" applyProtection="1">
      <alignment horizontal="left" vertical="center" wrapText="1"/>
      <protection hidden="1"/>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center" vertical="center"/>
      <protection locked="0"/>
    </xf>
    <xf numFmtId="0" fontId="5" fillId="0" borderId="1" xfId="0" applyFont="1" applyBorder="1" applyAlignment="1">
      <alignment horizontal="center" vertical="center"/>
    </xf>
    <xf numFmtId="0" fontId="4" fillId="0" borderId="0" xfId="0" applyFont="1" applyAlignment="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lignment horizontal="right" vertical="center"/>
    </xf>
    <xf numFmtId="0" fontId="4" fillId="0" borderId="1" xfId="0" applyFont="1" applyBorder="1" applyAlignment="1" applyProtection="1">
      <alignment horizontal="left" vertical="center" wrapText="1"/>
      <protection hidden="1"/>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center" vertical="center"/>
      <protection locked="0"/>
    </xf>
    <xf numFmtId="0" fontId="5" fillId="0" borderId="1" xfId="0" applyFont="1" applyBorder="1" applyAlignment="1">
      <alignment horizontal="center" vertical="center"/>
    </xf>
    <xf numFmtId="0" fontId="4" fillId="0" borderId="0" xfId="0" applyFont="1" applyAlignment="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lignment horizontal="right" vertical="center"/>
    </xf>
    <xf numFmtId="0" fontId="4" fillId="0" borderId="1" xfId="0" applyFont="1" applyBorder="1" applyAlignment="1" applyProtection="1">
      <alignment horizontal="left" vertical="center" wrapText="1"/>
      <protection hidden="1"/>
    </xf>
    <xf numFmtId="0" fontId="5" fillId="0" borderId="1" xfId="0" applyFont="1" applyBorder="1" applyAlignment="1" applyProtection="1">
      <alignment horizontal="left" vertical="center" indent="1"/>
      <protection hidden="1"/>
    </xf>
    <xf numFmtId="0" fontId="10" fillId="3" borderId="1" xfId="0" applyFont="1" applyFill="1" applyBorder="1" applyAlignment="1" applyProtection="1">
      <alignment horizontal="center" vertical="center"/>
      <protection hidden="1"/>
    </xf>
    <xf numFmtId="0" fontId="7" fillId="0" borderId="1" xfId="0" applyFont="1" applyBorder="1" applyAlignment="1">
      <alignment horizontal="left" vertical="center" indent="1"/>
    </xf>
    <xf numFmtId="0" fontId="5" fillId="5" borderId="2" xfId="0" applyFont="1" applyFill="1" applyBorder="1" applyAlignment="1" applyProtection="1">
      <alignment horizontal="left" vertical="center"/>
      <protection locked="0"/>
    </xf>
    <xf numFmtId="0" fontId="5" fillId="5" borderId="14" xfId="0" applyFont="1" applyFill="1" applyBorder="1" applyAlignment="1" applyProtection="1">
      <alignment horizontal="left" vertical="center"/>
      <protection locked="0"/>
    </xf>
    <xf numFmtId="0" fontId="5" fillId="5" borderId="13" xfId="0" applyFont="1" applyFill="1" applyBorder="1" applyAlignment="1" applyProtection="1">
      <alignment horizontal="left" vertical="center"/>
      <protection locked="0"/>
    </xf>
    <xf numFmtId="0" fontId="36" fillId="0" borderId="1" xfId="2" applyFont="1" applyFill="1" applyBorder="1" applyAlignment="1" applyProtection="1">
      <alignment horizontal="center" vertical="center"/>
      <protection hidden="1"/>
    </xf>
    <xf numFmtId="0" fontId="10" fillId="9" borderId="1" xfId="0" applyFont="1" applyFill="1" applyBorder="1" applyAlignment="1" applyProtection="1">
      <alignment horizontal="center" vertical="center"/>
      <protection hidden="1"/>
    </xf>
    <xf numFmtId="0" fontId="9" fillId="3" borderId="1" xfId="2" applyFont="1" applyFill="1" applyBorder="1" applyAlignment="1" applyProtection="1">
      <alignment horizontal="center" vertical="center"/>
      <protection hidden="1"/>
    </xf>
    <xf numFmtId="4" fontId="8" fillId="0" borderId="2" xfId="0" applyNumberFormat="1" applyFont="1" applyBorder="1" applyAlignment="1" applyProtection="1">
      <alignment horizontal="left" vertical="center"/>
      <protection hidden="1"/>
    </xf>
    <xf numFmtId="4" fontId="8" fillId="0" borderId="14" xfId="0" applyNumberFormat="1" applyFont="1" applyBorder="1" applyAlignment="1" applyProtection="1">
      <alignment horizontal="left" vertical="center"/>
      <protection hidden="1"/>
    </xf>
    <xf numFmtId="4" fontId="33" fillId="0" borderId="14" xfId="0" applyNumberFormat="1" applyFont="1" applyBorder="1" applyAlignment="1" applyProtection="1">
      <alignment horizontal="right" vertical="center"/>
      <protection hidden="1"/>
    </xf>
    <xf numFmtId="4" fontId="33" fillId="0" borderId="13" xfId="0" applyNumberFormat="1" applyFont="1" applyBorder="1" applyAlignment="1" applyProtection="1">
      <alignment horizontal="right" vertical="center"/>
      <protection hidden="1"/>
    </xf>
    <xf numFmtId="0" fontId="5" fillId="3" borderId="2" xfId="0" applyFont="1" applyFill="1" applyBorder="1" applyAlignment="1" applyProtection="1">
      <alignment horizontal="left" vertical="center" indent="1"/>
      <protection hidden="1"/>
    </xf>
    <xf numFmtId="0" fontId="5" fillId="3" borderId="13" xfId="0" applyFont="1" applyFill="1" applyBorder="1" applyAlignment="1" applyProtection="1">
      <alignment horizontal="left" vertical="center" indent="1"/>
      <protection hidden="1"/>
    </xf>
    <xf numFmtId="4" fontId="8" fillId="3" borderId="2" xfId="0" applyNumberFormat="1" applyFont="1" applyFill="1" applyBorder="1" applyAlignment="1" applyProtection="1">
      <alignment horizontal="left" vertical="center"/>
      <protection hidden="1"/>
    </xf>
    <xf numFmtId="4" fontId="8" fillId="3" borderId="14" xfId="0" applyNumberFormat="1" applyFont="1" applyFill="1" applyBorder="1" applyAlignment="1" applyProtection="1">
      <alignment horizontal="left" vertical="center"/>
      <protection hidden="1"/>
    </xf>
    <xf numFmtId="4" fontId="33" fillId="3" borderId="14" xfId="0" applyNumberFormat="1" applyFont="1" applyFill="1" applyBorder="1" applyAlignment="1" applyProtection="1">
      <alignment horizontal="right" vertical="center"/>
      <protection hidden="1"/>
    </xf>
    <xf numFmtId="4" fontId="33" fillId="3" borderId="13" xfId="0" applyNumberFormat="1" applyFont="1" applyFill="1" applyBorder="1" applyAlignment="1" applyProtection="1">
      <alignment horizontal="right" vertical="center"/>
      <protection hidden="1"/>
    </xf>
    <xf numFmtId="4" fontId="8" fillId="0" borderId="2" xfId="0" applyNumberFormat="1" applyFont="1" applyBorder="1" applyAlignment="1" applyProtection="1">
      <alignment horizontal="center" vertical="center"/>
      <protection hidden="1"/>
    </xf>
    <xf numFmtId="4" fontId="8" fillId="0" borderId="14" xfId="0" applyNumberFormat="1" applyFont="1" applyBorder="1" applyAlignment="1" applyProtection="1">
      <alignment horizontal="center" vertical="center"/>
      <protection hidden="1"/>
    </xf>
    <xf numFmtId="0" fontId="5" fillId="3" borderId="12" xfId="0" applyFont="1" applyFill="1" applyBorder="1" applyAlignment="1" applyProtection="1">
      <alignment horizontal="center" vertical="center" wrapText="1"/>
      <protection hidden="1"/>
    </xf>
    <xf numFmtId="0" fontId="5" fillId="3" borderId="1" xfId="0" applyFont="1" applyFill="1" applyBorder="1" applyAlignment="1" applyProtection="1">
      <alignment horizontal="center" vertical="center"/>
      <protection hidden="1"/>
    </xf>
    <xf numFmtId="0" fontId="5" fillId="0" borderId="5" xfId="0" applyFont="1" applyBorder="1" applyAlignment="1">
      <alignment horizontal="center"/>
    </xf>
    <xf numFmtId="0" fontId="5" fillId="0" borderId="0" xfId="0" applyFont="1" applyAlignment="1">
      <alignment horizontal="center"/>
    </xf>
    <xf numFmtId="0" fontId="5" fillId="0" borderId="9" xfId="0" applyFont="1" applyBorder="1" applyAlignment="1">
      <alignment horizontal="center"/>
    </xf>
    <xf numFmtId="0" fontId="5" fillId="0" borderId="3" xfId="0" applyFont="1" applyBorder="1" applyAlignment="1">
      <alignment horizontal="center"/>
    </xf>
    <xf numFmtId="0" fontId="5" fillId="0" borderId="6" xfId="0" applyFont="1" applyBorder="1" applyAlignment="1">
      <alignment horizontal="center"/>
    </xf>
    <xf numFmtId="0" fontId="5" fillId="0" borderId="7" xfId="0" applyFont="1" applyBorder="1" applyAlignment="1">
      <alignment horizontal="center"/>
    </xf>
    <xf numFmtId="0" fontId="5" fillId="0" borderId="4" xfId="0" applyFont="1" applyBorder="1" applyAlignment="1">
      <alignment horizontal="center"/>
    </xf>
    <xf numFmtId="0" fontId="5" fillId="0" borderId="15" xfId="0" applyFont="1" applyBorder="1" applyAlignment="1">
      <alignment horizontal="center"/>
    </xf>
    <xf numFmtId="0" fontId="5" fillId="0" borderId="8" xfId="0" applyFont="1" applyBorder="1" applyAlignment="1">
      <alignment horizontal="center"/>
    </xf>
    <xf numFmtId="10" fontId="10" fillId="3" borderId="1" xfId="0" applyNumberFormat="1"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protection hidden="1"/>
    </xf>
    <xf numFmtId="0" fontId="5" fillId="3" borderId="3" xfId="0" applyFont="1" applyFill="1" applyBorder="1" applyAlignment="1" applyProtection="1">
      <alignment horizontal="center" vertical="center" wrapText="1"/>
      <protection hidden="1"/>
    </xf>
    <xf numFmtId="0" fontId="5" fillId="3" borderId="6" xfId="0" applyFont="1" applyFill="1" applyBorder="1" applyAlignment="1" applyProtection="1">
      <alignment horizontal="center" vertical="center" wrapText="1"/>
      <protection hidden="1"/>
    </xf>
    <xf numFmtId="0" fontId="5" fillId="3" borderId="7" xfId="0" applyFont="1" applyFill="1" applyBorder="1" applyAlignment="1" applyProtection="1">
      <alignment horizontal="center" vertical="center" wrapText="1"/>
      <protection hidden="1"/>
    </xf>
    <xf numFmtId="10" fontId="17" fillId="3" borderId="1"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wrapText="1" indent="1"/>
      <protection hidden="1"/>
    </xf>
    <xf numFmtId="10" fontId="17" fillId="3" borderId="13" xfId="0" applyNumberFormat="1" applyFont="1" applyFill="1" applyBorder="1" applyAlignment="1" applyProtection="1">
      <alignment horizontal="left" vertical="center" wrapText="1" indent="1"/>
      <protection hidden="1"/>
    </xf>
    <xf numFmtId="0" fontId="11" fillId="0" borderId="4" xfId="0" applyFont="1" applyBorder="1" applyAlignment="1">
      <alignment horizontal="center"/>
    </xf>
    <xf numFmtId="0" fontId="11" fillId="0" borderId="8" xfId="0" applyFont="1" applyBorder="1" applyAlignment="1">
      <alignment horizontal="center"/>
    </xf>
    <xf numFmtId="0" fontId="5" fillId="3" borderId="3" xfId="0" applyFont="1" applyFill="1" applyBorder="1" applyAlignment="1">
      <alignment horizontal="left" vertical="center" indent="1"/>
    </xf>
    <xf numFmtId="0" fontId="5" fillId="3" borderId="6" xfId="0" applyFont="1" applyFill="1" applyBorder="1" applyAlignment="1">
      <alignment horizontal="left" vertical="center" indent="1"/>
    </xf>
    <xf numFmtId="0" fontId="5" fillId="3" borderId="2" xfId="0" applyFont="1" applyFill="1" applyBorder="1" applyAlignment="1">
      <alignment horizontal="left" vertical="center" indent="1"/>
    </xf>
    <xf numFmtId="0" fontId="5" fillId="3" borderId="14" xfId="0" applyFont="1" applyFill="1" applyBorder="1" applyAlignment="1">
      <alignment horizontal="left" vertical="center" indent="1"/>
    </xf>
    <xf numFmtId="10" fontId="21" fillId="3" borderId="2" xfId="0" applyNumberFormat="1" applyFont="1" applyFill="1" applyBorder="1" applyAlignment="1" applyProtection="1">
      <alignment horizontal="center" vertical="center" wrapText="1"/>
      <protection hidden="1"/>
    </xf>
    <xf numFmtId="10" fontId="21" fillId="3" borderId="14" xfId="0" applyNumberFormat="1" applyFont="1" applyFill="1" applyBorder="1" applyAlignment="1" applyProtection="1">
      <alignment horizontal="center" vertical="center" wrapText="1"/>
      <protection hidden="1"/>
    </xf>
    <xf numFmtId="10" fontId="21" fillId="3" borderId="13" xfId="0" applyNumberFormat="1" applyFont="1" applyFill="1" applyBorder="1" applyAlignment="1" applyProtection="1">
      <alignment horizontal="center" vertical="center" wrapText="1"/>
      <protection hidden="1"/>
    </xf>
    <xf numFmtId="10" fontId="5" fillId="3" borderId="1" xfId="0" applyNumberFormat="1" applyFont="1" applyFill="1" applyBorder="1" applyAlignment="1" applyProtection="1">
      <alignment horizontal="center" vertical="center"/>
      <protection hidden="1"/>
    </xf>
    <xf numFmtId="168" fontId="4" fillId="0" borderId="9" xfId="0" applyNumberFormat="1" applyFont="1" applyBorder="1" applyAlignment="1" applyProtection="1">
      <alignment horizontal="right" vertical="center" indent="1"/>
      <protection hidden="1"/>
    </xf>
    <xf numFmtId="168" fontId="4" fillId="0" borderId="7" xfId="0" applyNumberFormat="1" applyFont="1" applyBorder="1" applyAlignment="1" applyProtection="1">
      <alignment horizontal="right" vertical="center" indent="1"/>
      <protection hidden="1"/>
    </xf>
    <xf numFmtId="172" fontId="4" fillId="0" borderId="8" xfId="0" applyNumberFormat="1" applyFont="1" applyBorder="1" applyAlignment="1" applyProtection="1">
      <alignment horizontal="right" vertical="center" indent="1"/>
      <protection hidden="1"/>
    </xf>
    <xf numFmtId="172" fontId="4" fillId="0" borderId="7" xfId="0" applyNumberFormat="1" applyFont="1" applyBorder="1" applyAlignment="1" applyProtection="1">
      <alignment horizontal="right" vertical="center" indent="1"/>
      <protection hidden="1"/>
    </xf>
    <xf numFmtId="171" fontId="4" fillId="0" borderId="8" xfId="0" applyNumberFormat="1" applyFont="1" applyBorder="1" applyAlignment="1" applyProtection="1">
      <alignment horizontal="right" vertical="center" indent="1"/>
      <protection hidden="1"/>
    </xf>
    <xf numFmtId="171" fontId="4" fillId="0" borderId="7" xfId="0" applyNumberFormat="1" applyFont="1" applyBorder="1" applyAlignment="1" applyProtection="1">
      <alignment horizontal="right" vertical="center" indent="1"/>
      <protection hidden="1"/>
    </xf>
    <xf numFmtId="10" fontId="4" fillId="10" borderId="4" xfId="0" applyNumberFormat="1" applyFont="1" applyFill="1" applyBorder="1" applyAlignment="1" applyProtection="1">
      <alignment horizontal="left" vertical="center" wrapText="1"/>
      <protection hidden="1"/>
    </xf>
    <xf numFmtId="10" fontId="4" fillId="10" borderId="15" xfId="0" applyNumberFormat="1" applyFont="1" applyFill="1" applyBorder="1" applyAlignment="1" applyProtection="1">
      <alignment horizontal="left" vertical="center" wrapText="1"/>
      <protection hidden="1"/>
    </xf>
    <xf numFmtId="10" fontId="4" fillId="10" borderId="8" xfId="0" applyNumberFormat="1" applyFont="1" applyFill="1" applyBorder="1" applyAlignment="1" applyProtection="1">
      <alignment horizontal="left" vertical="center" wrapText="1"/>
      <protection hidden="1"/>
    </xf>
    <xf numFmtId="10" fontId="4" fillId="10" borderId="5" xfId="0" applyNumberFormat="1" applyFont="1" applyFill="1" applyBorder="1" applyAlignment="1" applyProtection="1">
      <alignment horizontal="left" vertical="center" wrapText="1"/>
      <protection hidden="1"/>
    </xf>
    <xf numFmtId="10" fontId="4" fillId="10" borderId="0" xfId="0" applyNumberFormat="1" applyFont="1" applyFill="1" applyAlignment="1" applyProtection="1">
      <alignment horizontal="left" vertical="center" wrapText="1"/>
      <protection hidden="1"/>
    </xf>
    <xf numFmtId="10" fontId="4" fillId="10" borderId="9" xfId="0" applyNumberFormat="1" applyFont="1" applyFill="1" applyBorder="1" applyAlignment="1" applyProtection="1">
      <alignment horizontal="left" vertical="center" wrapText="1"/>
      <protection hidden="1"/>
    </xf>
    <xf numFmtId="10" fontId="4" fillId="10" borderId="3" xfId="0" applyNumberFormat="1" applyFont="1" applyFill="1" applyBorder="1" applyAlignment="1" applyProtection="1">
      <alignment horizontal="left" vertical="center" wrapText="1"/>
      <protection hidden="1"/>
    </xf>
    <xf numFmtId="10" fontId="4" fillId="10" borderId="6" xfId="0" applyNumberFormat="1" applyFont="1" applyFill="1" applyBorder="1" applyAlignment="1" applyProtection="1">
      <alignment horizontal="left" vertical="center" wrapText="1"/>
      <protection hidden="1"/>
    </xf>
    <xf numFmtId="10" fontId="4" fillId="10" borderId="7" xfId="0" applyNumberFormat="1" applyFont="1" applyFill="1" applyBorder="1" applyAlignment="1" applyProtection="1">
      <alignment horizontal="left" vertical="center" wrapText="1"/>
      <protection hidden="1"/>
    </xf>
    <xf numFmtId="173" fontId="4" fillId="0" borderId="11" xfId="0" applyNumberFormat="1" applyFont="1" applyBorder="1" applyAlignment="1" applyProtection="1">
      <alignment horizontal="right" vertical="center" indent="1"/>
      <protection hidden="1"/>
    </xf>
    <xf numFmtId="173" fontId="4" fillId="0" borderId="12" xfId="0" applyNumberFormat="1" applyFont="1" applyBorder="1" applyAlignment="1" applyProtection="1">
      <alignment horizontal="right" vertical="center" indent="1"/>
      <protection hidden="1"/>
    </xf>
    <xf numFmtId="170" fontId="4" fillId="0" borderId="10" xfId="0" applyNumberFormat="1" applyFont="1" applyBorder="1" applyAlignment="1" applyProtection="1">
      <alignment horizontal="right" vertical="center" indent="1"/>
      <protection hidden="1"/>
    </xf>
    <xf numFmtId="170" fontId="4" fillId="0" borderId="12" xfId="0" applyNumberFormat="1" applyFont="1" applyBorder="1" applyAlignment="1" applyProtection="1">
      <alignment horizontal="right" vertical="center" indent="1"/>
      <protection hidden="1"/>
    </xf>
    <xf numFmtId="169" fontId="4" fillId="0" borderId="10" xfId="0" applyNumberFormat="1" applyFont="1" applyBorder="1" applyAlignment="1" applyProtection="1">
      <alignment horizontal="right" vertical="center" indent="1"/>
      <protection hidden="1"/>
    </xf>
    <xf numFmtId="169" fontId="4" fillId="0" borderId="12" xfId="0" applyNumberFormat="1" applyFont="1" applyBorder="1" applyAlignment="1" applyProtection="1">
      <alignment horizontal="right" vertical="center" indent="1"/>
      <protection hidden="1"/>
    </xf>
    <xf numFmtId="0" fontId="4" fillId="0" borderId="6" xfId="0" applyFont="1" applyBorder="1" applyAlignment="1">
      <alignment horizontal="center"/>
    </xf>
    <xf numFmtId="0" fontId="5" fillId="3" borderId="1" xfId="0" applyFont="1" applyFill="1" applyBorder="1" applyAlignment="1" applyProtection="1">
      <alignment horizontal="center" vertical="center" wrapText="1"/>
      <protection hidden="1"/>
    </xf>
    <xf numFmtId="0" fontId="5" fillId="3" borderId="10" xfId="0" applyFont="1" applyFill="1" applyBorder="1" applyAlignment="1" applyProtection="1">
      <alignment horizontal="center" vertical="center" wrapText="1"/>
      <protection hidden="1"/>
    </xf>
    <xf numFmtId="0" fontId="5" fillId="3" borderId="10" xfId="0" applyFont="1" applyFill="1" applyBorder="1" applyAlignment="1">
      <alignment horizontal="center" vertical="center"/>
    </xf>
    <xf numFmtId="0" fontId="5" fillId="3" borderId="11" xfId="0" applyFont="1" applyFill="1" applyBorder="1" applyAlignment="1">
      <alignment horizontal="center" vertical="center"/>
    </xf>
    <xf numFmtId="0" fontId="5" fillId="3" borderId="12" xfId="0" applyFont="1" applyFill="1" applyBorder="1" applyAlignment="1">
      <alignment horizontal="center" vertical="center"/>
    </xf>
    <xf numFmtId="167" fontId="4" fillId="0" borderId="4" xfId="0" applyNumberFormat="1" applyFont="1" applyBorder="1" applyAlignment="1" applyProtection="1">
      <alignment horizontal="right" vertical="center"/>
      <protection hidden="1"/>
    </xf>
    <xf numFmtId="167" fontId="4" fillId="0" borderId="8" xfId="0" applyNumberFormat="1" applyFont="1" applyBorder="1" applyAlignment="1" applyProtection="1">
      <alignment horizontal="right" vertical="center"/>
      <protection hidden="1"/>
    </xf>
    <xf numFmtId="167" fontId="4" fillId="0" borderId="5" xfId="0" applyNumberFormat="1" applyFont="1" applyBorder="1" applyAlignment="1" applyProtection="1">
      <alignment horizontal="right" vertical="center"/>
      <protection hidden="1"/>
    </xf>
    <xf numFmtId="167" fontId="4" fillId="0" borderId="9" xfId="0" applyNumberFormat="1" applyFont="1" applyBorder="1" applyAlignment="1" applyProtection="1">
      <alignment horizontal="right" vertical="center"/>
      <protection hidden="1"/>
    </xf>
    <xf numFmtId="167" fontId="4" fillId="0" borderId="3" xfId="0" applyNumberFormat="1" applyFont="1" applyBorder="1" applyAlignment="1" applyProtection="1">
      <alignment horizontal="right" vertical="center"/>
      <protection hidden="1"/>
    </xf>
    <xf numFmtId="167" fontId="4" fillId="0" borderId="7" xfId="0" applyNumberFormat="1" applyFont="1" applyBorder="1" applyAlignment="1" applyProtection="1">
      <alignment horizontal="right" vertical="center"/>
      <protection hidden="1"/>
    </xf>
    <xf numFmtId="167" fontId="12" fillId="0" borderId="10" xfId="0" applyNumberFormat="1" applyFont="1" applyBorder="1" applyAlignment="1" applyProtection="1">
      <alignment horizontal="right" vertical="center"/>
      <protection hidden="1"/>
    </xf>
    <xf numFmtId="167" fontId="12" fillId="0" borderId="11" xfId="0" applyNumberFormat="1" applyFont="1" applyBorder="1" applyAlignment="1" applyProtection="1">
      <alignment horizontal="right" vertical="center"/>
      <protection hidden="1"/>
    </xf>
    <xf numFmtId="167" fontId="12" fillId="0" borderId="12" xfId="0" applyNumberFormat="1" applyFont="1" applyBorder="1" applyAlignment="1" applyProtection="1">
      <alignment horizontal="right" vertical="center"/>
      <protection hidden="1"/>
    </xf>
    <xf numFmtId="0" fontId="11" fillId="3" borderId="10" xfId="0" applyFont="1" applyFill="1" applyBorder="1" applyAlignment="1">
      <alignment horizontal="center" vertical="center"/>
    </xf>
    <xf numFmtId="0" fontId="11" fillId="3" borderId="11" xfId="0" applyFont="1" applyFill="1" applyBorder="1" applyAlignment="1">
      <alignment horizontal="center" vertical="center"/>
    </xf>
    <xf numFmtId="0" fontId="11" fillId="3" borderId="12" xfId="0" applyFont="1" applyFill="1" applyBorder="1" applyAlignment="1">
      <alignment horizontal="center" vertical="center"/>
    </xf>
    <xf numFmtId="164" fontId="5" fillId="0" borderId="5" xfId="0" applyNumberFormat="1" applyFont="1" applyBorder="1" applyAlignment="1" applyProtection="1">
      <alignment horizontal="center" vertical="center"/>
      <protection hidden="1"/>
    </xf>
    <xf numFmtId="164" fontId="5" fillId="0" borderId="0" xfId="0" applyNumberFormat="1" applyFont="1" applyAlignment="1" applyProtection="1">
      <alignment horizontal="center" vertical="center"/>
      <protection hidden="1"/>
    </xf>
    <xf numFmtId="164" fontId="5" fillId="0" borderId="9" xfId="0" applyNumberFormat="1" applyFont="1" applyBorder="1" applyAlignment="1" applyProtection="1">
      <alignment horizontal="center" vertical="center"/>
      <protection hidden="1"/>
    </xf>
    <xf numFmtId="164" fontId="5" fillId="3" borderId="2" xfId="0" applyNumberFormat="1" applyFont="1" applyFill="1" applyBorder="1" applyAlignment="1" applyProtection="1">
      <alignment horizontal="center" vertical="center"/>
      <protection hidden="1"/>
    </xf>
    <xf numFmtId="164" fontId="5" fillId="3" borderId="13" xfId="0" applyNumberFormat="1" applyFont="1" applyFill="1" applyBorder="1" applyAlignment="1" applyProtection="1">
      <alignment horizontal="center" vertical="center"/>
      <protection hidden="1"/>
    </xf>
    <xf numFmtId="3" fontId="5" fillId="3" borderId="2" xfId="0" applyNumberFormat="1" applyFont="1" applyFill="1" applyBorder="1" applyAlignment="1" applyProtection="1">
      <alignment horizontal="center" vertical="center" wrapText="1"/>
      <protection hidden="1"/>
    </xf>
    <xf numFmtId="3" fontId="5" fillId="3" borderId="13" xfId="0" applyNumberFormat="1" applyFont="1" applyFill="1" applyBorder="1" applyAlignment="1" applyProtection="1">
      <alignment horizontal="center" vertical="center" wrapText="1"/>
      <protection hidden="1"/>
    </xf>
    <xf numFmtId="0" fontId="4" fillId="0" borderId="1" xfId="0" applyFont="1" applyBorder="1" applyAlignment="1">
      <alignment horizontal="center"/>
    </xf>
    <xf numFmtId="0" fontId="4" fillId="0" borderId="14" xfId="0" applyFont="1" applyBorder="1" applyAlignment="1">
      <alignment horizontal="center"/>
    </xf>
    <xf numFmtId="0" fontId="4" fillId="0" borderId="15" xfId="0" applyFont="1" applyBorder="1" applyAlignment="1">
      <alignment horizontal="center"/>
    </xf>
    <xf numFmtId="0" fontId="5" fillId="0" borderId="1" xfId="0" applyFont="1" applyBorder="1" applyAlignment="1">
      <alignment horizontal="center"/>
    </xf>
    <xf numFmtId="0" fontId="20" fillId="0" borderId="0" xfId="0" applyFont="1" applyAlignment="1">
      <alignment horizontal="left" vertical="center" wrapText="1"/>
    </xf>
    <xf numFmtId="0" fontId="20" fillId="0" borderId="0" xfId="0" applyFont="1" applyAlignment="1">
      <alignment horizontal="left" vertical="center"/>
    </xf>
    <xf numFmtId="0" fontId="8" fillId="3" borderId="1" xfId="0" applyFont="1" applyFill="1" applyBorder="1" applyAlignment="1">
      <alignment horizontal="center" vertical="center"/>
    </xf>
    <xf numFmtId="0" fontId="27" fillId="3" borderId="2" xfId="0" applyFont="1" applyFill="1" applyBorder="1" applyAlignment="1">
      <alignment horizontal="center" vertical="center" wrapText="1"/>
    </xf>
    <xf numFmtId="0" fontId="27" fillId="3" borderId="13" xfId="0" applyFont="1" applyFill="1" applyBorder="1" applyAlignment="1">
      <alignment horizontal="center" vertical="center"/>
    </xf>
    <xf numFmtId="0" fontId="27" fillId="3" borderId="14" xfId="0" applyFont="1" applyFill="1" applyBorder="1" applyAlignment="1">
      <alignment horizontal="center" vertical="center" wrapText="1"/>
    </xf>
    <xf numFmtId="0" fontId="27" fillId="3" borderId="4" xfId="0" applyFont="1" applyFill="1" applyBorder="1" applyAlignment="1">
      <alignment horizontal="left" vertical="center" wrapText="1" indent="1"/>
    </xf>
    <xf numFmtId="0" fontId="27" fillId="3" borderId="15" xfId="0" applyFont="1" applyFill="1" applyBorder="1" applyAlignment="1">
      <alignment horizontal="left" vertical="center" wrapText="1" indent="1"/>
    </xf>
    <xf numFmtId="0" fontId="27" fillId="3" borderId="8" xfId="0" applyFont="1" applyFill="1" applyBorder="1" applyAlignment="1">
      <alignment horizontal="left" vertical="center" wrapText="1" indent="1"/>
    </xf>
    <xf numFmtId="0" fontId="27" fillId="3" borderId="3" xfId="0" applyFont="1" applyFill="1" applyBorder="1" applyAlignment="1">
      <alignment horizontal="left" vertical="center" wrapText="1" indent="1"/>
    </xf>
    <xf numFmtId="0" fontId="27" fillId="3" borderId="6" xfId="0" applyFont="1" applyFill="1" applyBorder="1" applyAlignment="1">
      <alignment horizontal="left" vertical="center" wrapText="1" indent="1"/>
    </xf>
    <xf numFmtId="0" fontId="27" fillId="3" borderId="7" xfId="0" applyFont="1" applyFill="1" applyBorder="1" applyAlignment="1">
      <alignment horizontal="left" vertical="center" wrapText="1" indent="1"/>
    </xf>
  </cellXfs>
  <cellStyles count="6">
    <cellStyle name="Comma" xfId="1" builtinId="3"/>
    <cellStyle name="Hyperlink" xfId="2" builtinId="8"/>
    <cellStyle name="Hyperlink 2" xfId="4"/>
    <cellStyle name="Normal" xfId="0" builtinId="0"/>
    <cellStyle name="Normal 2" xfId="3"/>
    <cellStyle name="Percent" xfId="5" builtinId="5"/>
  </cellStyles>
  <dxfs count="632">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FF0000"/>
      </font>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FF0000"/>
      </font>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FF0000"/>
      </font>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FF0000"/>
      </font>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FF0000"/>
      </font>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FF0000"/>
      </font>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FF0000"/>
      </font>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FF0000"/>
      </font>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FF0000"/>
      </font>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ont>
        <color theme="1"/>
      </font>
      <fill>
        <patternFill>
          <bgColor rgb="FFFF0000"/>
        </patternFill>
      </fill>
      <border>
        <left style="thin">
          <color auto="1"/>
        </left>
        <right style="thin">
          <color auto="1"/>
        </right>
        <top style="thin">
          <color auto="1"/>
        </top>
        <bottom style="thin">
          <color auto="1"/>
        </bottom>
      </border>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006100"/>
      </font>
      <fill>
        <patternFill>
          <bgColor rgb="FFC6EFCE"/>
        </patternFill>
      </fill>
    </dxf>
    <dxf>
      <fill>
        <patternFill>
          <bgColor theme="5" tint="0.79998168889431442"/>
        </patternFill>
      </fill>
    </dxf>
    <dxf>
      <font>
        <b/>
        <i val="0"/>
        <color theme="1"/>
      </font>
      <fill>
        <patternFill>
          <bgColor rgb="FFFF0000"/>
        </patternFill>
      </fill>
    </dxf>
    <dxf>
      <font>
        <b/>
        <i val="0"/>
        <color rgb="FFFF0000"/>
      </font>
    </dxf>
    <dxf>
      <font>
        <b/>
        <i val="0"/>
        <color rgb="FFFF0000"/>
      </font>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s>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1</xdr:row>
      <xdr:rowOff>152400</xdr:rowOff>
    </xdr:from>
    <xdr:to>
      <xdr:col>1</xdr:col>
      <xdr:colOff>161925</xdr:colOff>
      <xdr:row>4</xdr:row>
      <xdr:rowOff>6164</xdr:rowOff>
    </xdr:to>
    <xdr:pic>
      <xdr:nvPicPr>
        <xdr:cNvPr id="2" name="Picture 8" descr="educ-traini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314325"/>
          <a:ext cx="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xdr:row>
      <xdr:rowOff>0</xdr:rowOff>
    </xdr:from>
    <xdr:to>
      <xdr:col>2</xdr:col>
      <xdr:colOff>2385532</xdr:colOff>
      <xdr:row>4</xdr:row>
      <xdr:rowOff>165520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2059" y="156882"/>
          <a:ext cx="3057885" cy="86028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225" name="Button 1" hidden="1">
              <a:extLst>
                <a:ext uri="{63B3BB69-23CF-44E3-9099-C40C66FF867C}">
                  <a14:compatExt spid="_x0000_s322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3226" name="Button 2" hidden="1">
              <a:extLst>
                <a:ext uri="{63B3BB69-23CF-44E3-9099-C40C66FF867C}">
                  <a14:compatExt spid="_x0000_s322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3235" name="Button 163" hidden="1">
              <a:extLst>
                <a:ext uri="{63B3BB69-23CF-44E3-9099-C40C66FF867C}">
                  <a14:compatExt spid="_x0000_s323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2118360</xdr:colOff>
          <xdr:row>1</xdr:row>
          <xdr:rowOff>83820</xdr:rowOff>
        </xdr:from>
        <xdr:to>
          <xdr:col>4</xdr:col>
          <xdr:colOff>525780</xdr:colOff>
          <xdr:row>1</xdr:row>
          <xdr:rowOff>449580</xdr:rowOff>
        </xdr:to>
        <xdr:sp macro="" textlink="">
          <xdr:nvSpPr>
            <xdr:cNvPr id="5152" name="Button 3" hidden="1">
              <a:extLst>
                <a:ext uri="{63B3BB69-23CF-44E3-9099-C40C66FF867C}">
                  <a14:compatExt spid="_x0000_s515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Distance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5164" name="Button 1" hidden="1">
              <a:extLst>
                <a:ext uri="{63B3BB69-23CF-44E3-9099-C40C66FF867C}">
                  <a14:compatExt spid="_x0000_s516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5165" name="Button 2" hidden="1">
              <a:extLst>
                <a:ext uri="{63B3BB69-23CF-44E3-9099-C40C66FF867C}">
                  <a14:compatExt spid="_x0000_s516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5166" name="Button 46" hidden="1">
              <a:extLst>
                <a:ext uri="{63B3BB69-23CF-44E3-9099-C40C66FF867C}">
                  <a14:compatExt spid="_x0000_s516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8225" name="Button 1" hidden="1">
              <a:extLst>
                <a:ext uri="{63B3BB69-23CF-44E3-9099-C40C66FF867C}">
                  <a14:compatExt spid="_x0000_s822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8226" name="Button 2" hidden="1">
              <a:extLst>
                <a:ext uri="{63B3BB69-23CF-44E3-9099-C40C66FF867C}">
                  <a14:compatExt spid="_x0000_s822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8227" name="Button 35" hidden="1">
              <a:extLst>
                <a:ext uri="{63B3BB69-23CF-44E3-9099-C40C66FF867C}">
                  <a14:compatExt spid="_x0000_s822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4842" name="Button 1" hidden="1">
              <a:extLst>
                <a:ext uri="{63B3BB69-23CF-44E3-9099-C40C66FF867C}">
                  <a14:compatExt spid="_x0000_s348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34843" name="Button 2" hidden="1">
              <a:extLst>
                <a:ext uri="{63B3BB69-23CF-44E3-9099-C40C66FF867C}">
                  <a14:compatExt spid="_x0000_s3484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34844" name="Button 28" hidden="1">
              <a:extLst>
                <a:ext uri="{63B3BB69-23CF-44E3-9099-C40C66FF867C}">
                  <a14:compatExt spid="_x0000_s3484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5865" name="Button 1" hidden="1">
              <a:extLst>
                <a:ext uri="{63B3BB69-23CF-44E3-9099-C40C66FF867C}">
                  <a14:compatExt spid="_x0000_s3586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xdr:colOff>
          <xdr:row>1</xdr:row>
          <xdr:rowOff>83820</xdr:rowOff>
        </xdr:from>
        <xdr:to>
          <xdr:col>2</xdr:col>
          <xdr:colOff>1821180</xdr:colOff>
          <xdr:row>1</xdr:row>
          <xdr:rowOff>449580</xdr:rowOff>
        </xdr:to>
        <xdr:sp macro="" textlink="">
          <xdr:nvSpPr>
            <xdr:cNvPr id="35866" name="Button 2" hidden="1">
              <a:extLst>
                <a:ext uri="{63B3BB69-23CF-44E3-9099-C40C66FF867C}">
                  <a14:compatExt spid="_x0000_s3586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1889760</xdr:colOff>
          <xdr:row>1</xdr:row>
          <xdr:rowOff>83820</xdr:rowOff>
        </xdr:from>
        <xdr:to>
          <xdr:col>3</xdr:col>
          <xdr:colOff>304800</xdr:colOff>
          <xdr:row>1</xdr:row>
          <xdr:rowOff>449580</xdr:rowOff>
        </xdr:to>
        <xdr:sp macro="" textlink="">
          <xdr:nvSpPr>
            <xdr:cNvPr id="35867" name="Button 27" hidden="1">
              <a:extLst>
                <a:ext uri="{63B3BB69-23CF-44E3-9099-C40C66FF867C}">
                  <a14:compatExt spid="_x0000_s3586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eacea.ec.europa.eu/erasmus-plus/funding/capacity-building-in-the-field-of-higher-education-2020_en"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eacea.ec.europa.eu/erasmus-plus/funding/capacity-building-in-the-field-of-higher-education-2020_en" TargetMode="External"/><Relationship Id="rId1" Type="http://schemas.openxmlformats.org/officeDocument/2006/relationships/hyperlink" Target="https://ec.europa.eu/programmes/erasmus-plus/resources/documents/erasmus-programme-guide-2020_e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6" tint="-0.249977111117893"/>
    <pageSetUpPr fitToPage="1"/>
  </sheetPr>
  <dimension ref="B1:L81"/>
  <sheetViews>
    <sheetView showGridLines="0" topLeftCell="A18" zoomScale="70" zoomScaleNormal="70" zoomScaleSheetLayoutView="85" workbookViewId="0">
      <selection activeCell="C58" sqref="C58"/>
    </sheetView>
  </sheetViews>
  <sheetFormatPr defaultColWidth="9.109375" defaultRowHeight="18" x14ac:dyDescent="0.35"/>
  <cols>
    <col min="1" max="1" width="1.6640625" style="1" customWidth="1"/>
    <col min="2" max="2" width="10" style="1" customWidth="1"/>
    <col min="3" max="3" width="50" style="2" customWidth="1"/>
    <col min="4" max="4" width="50.6640625" style="1" customWidth="1"/>
    <col min="5" max="5" width="23.6640625" style="1" customWidth="1"/>
    <col min="6" max="12" width="20.6640625" style="1" customWidth="1"/>
    <col min="13" max="13" width="1.6640625" style="1" customWidth="1"/>
    <col min="14" max="16384" width="9.109375" style="1"/>
  </cols>
  <sheetData>
    <row r="1" spans="2:12" ht="9.9" customHeight="1" x14ac:dyDescent="0.35">
      <c r="G1" s="3"/>
      <c r="H1" s="3"/>
      <c r="I1" s="3"/>
      <c r="J1" s="3"/>
      <c r="K1" s="3"/>
      <c r="L1" s="3"/>
    </row>
    <row r="2" spans="2:12" x14ac:dyDescent="0.35">
      <c r="B2" s="4"/>
      <c r="C2" s="4"/>
      <c r="D2" s="4"/>
      <c r="E2" s="4"/>
      <c r="F2" s="4"/>
      <c r="G2" s="3"/>
      <c r="H2" s="3"/>
      <c r="I2" s="3"/>
      <c r="J2" s="3"/>
      <c r="K2" s="3"/>
      <c r="L2" s="3"/>
    </row>
    <row r="3" spans="2:12" x14ac:dyDescent="0.35">
      <c r="B3" s="4"/>
      <c r="C3" s="4"/>
      <c r="D3" s="5" t="s">
        <v>0</v>
      </c>
      <c r="E3" s="6"/>
      <c r="F3" s="4"/>
      <c r="G3" s="3"/>
      <c r="H3" s="3"/>
      <c r="I3" s="3"/>
      <c r="J3" s="3"/>
      <c r="K3" s="3"/>
      <c r="L3" s="3"/>
    </row>
    <row r="4" spans="2:12" ht="20.100000000000001" customHeight="1" x14ac:dyDescent="0.35">
      <c r="B4" s="4"/>
      <c r="C4" s="1"/>
      <c r="D4" s="5" t="s">
        <v>1</v>
      </c>
      <c r="E4" s="6"/>
      <c r="F4" s="6"/>
      <c r="G4" s="6"/>
      <c r="H4" s="6"/>
      <c r="I4" s="6"/>
      <c r="J4" s="6"/>
      <c r="K4" s="6"/>
      <c r="L4" s="6"/>
    </row>
    <row r="5" spans="2:12" ht="20.100000000000001" customHeight="1" x14ac:dyDescent="0.35">
      <c r="B5" s="4"/>
      <c r="C5" s="1"/>
      <c r="D5" s="6"/>
      <c r="E5" s="6"/>
      <c r="F5" s="6"/>
      <c r="G5" s="6"/>
      <c r="H5" s="6"/>
      <c r="I5" s="6"/>
      <c r="J5" s="6"/>
      <c r="K5" s="6"/>
      <c r="L5" s="6"/>
    </row>
    <row r="6" spans="2:12" ht="9.9" customHeight="1" x14ac:dyDescent="0.35">
      <c r="B6" s="7"/>
      <c r="C6" s="7"/>
      <c r="D6" s="4"/>
      <c r="E6" s="4"/>
      <c r="F6" s="4"/>
      <c r="G6" s="4"/>
      <c r="H6" s="4"/>
      <c r="I6" s="4"/>
      <c r="J6" s="4"/>
      <c r="K6" s="4"/>
    </row>
    <row r="7" spans="2:12" ht="24.9" customHeight="1" x14ac:dyDescent="0.35">
      <c r="B7" s="146" t="s">
        <v>2</v>
      </c>
      <c r="C7" s="146"/>
      <c r="D7" s="146"/>
      <c r="E7" s="146"/>
      <c r="F7" s="146"/>
      <c r="G7" s="146"/>
      <c r="H7" s="146"/>
      <c r="I7" s="146"/>
      <c r="J7" s="146"/>
      <c r="K7" s="146"/>
      <c r="L7" s="146"/>
    </row>
    <row r="8" spans="2:12" ht="24.9" customHeight="1" x14ac:dyDescent="0.35">
      <c r="B8" s="147" t="s">
        <v>3</v>
      </c>
      <c r="C8" s="147"/>
      <c r="D8" s="147"/>
      <c r="E8" s="147"/>
      <c r="F8" s="147"/>
      <c r="G8" s="147"/>
      <c r="H8" s="147"/>
      <c r="I8" s="147"/>
      <c r="J8" s="147"/>
      <c r="K8" s="147"/>
      <c r="L8" s="147"/>
    </row>
    <row r="9" spans="2:12" ht="24.9" customHeight="1" x14ac:dyDescent="0.35">
      <c r="B9" s="148" t="s">
        <v>4</v>
      </c>
      <c r="C9" s="148"/>
      <c r="D9" s="148"/>
      <c r="E9" s="148"/>
      <c r="F9" s="148"/>
      <c r="G9" s="148"/>
      <c r="H9" s="148"/>
      <c r="I9" s="148"/>
      <c r="J9" s="148"/>
      <c r="K9" s="148"/>
      <c r="L9" s="148"/>
    </row>
    <row r="10" spans="2:12" ht="20.100000000000001" customHeight="1" x14ac:dyDescent="0.35">
      <c r="B10" s="7"/>
      <c r="C10" s="7"/>
      <c r="D10" s="4"/>
      <c r="E10" s="4"/>
      <c r="F10" s="4"/>
      <c r="G10" s="4"/>
      <c r="H10" s="4"/>
      <c r="I10" s="4"/>
      <c r="J10" s="4"/>
      <c r="K10" s="4"/>
    </row>
    <row r="11" spans="2:12" ht="18" customHeight="1" x14ac:dyDescent="0.35">
      <c r="B11" s="140" t="s">
        <v>5</v>
      </c>
      <c r="C11" s="140"/>
      <c r="D11" s="8"/>
      <c r="E11" s="142" t="str">
        <f>IF(D11="","Please select Action Type",IF(OR(D11="Joint Project",D11="Structural Project"),"","Error Type of Action"))</f>
        <v>Please select Action Type</v>
      </c>
      <c r="F11" s="142"/>
      <c r="G11" s="142"/>
      <c r="H11" s="142"/>
      <c r="I11" s="142"/>
      <c r="J11" s="142"/>
      <c r="K11" s="142"/>
      <c r="L11" s="142"/>
    </row>
    <row r="12" spans="2:12" ht="18" customHeight="1" x14ac:dyDescent="0.35">
      <c r="B12" s="140" t="s">
        <v>6</v>
      </c>
      <c r="C12" s="140"/>
      <c r="D12" s="8"/>
      <c r="E12" s="142" t="str">
        <f>IF(D12="","Please select duration",IF(OR(D12=24,D12=36),"","Error duration"))</f>
        <v>Please select duration</v>
      </c>
      <c r="F12" s="142"/>
      <c r="G12" s="142"/>
      <c r="H12" s="142"/>
      <c r="I12" s="142"/>
      <c r="J12" s="142"/>
      <c r="K12" s="142"/>
      <c r="L12" s="142"/>
    </row>
    <row r="13" spans="2:12" ht="18" customHeight="1" x14ac:dyDescent="0.35">
      <c r="B13" s="140" t="s">
        <v>7</v>
      </c>
      <c r="C13" s="140"/>
      <c r="D13" s="8"/>
      <c r="E13" s="142" t="str">
        <f>IF(D13="","Please fill in Project Acronym","")</f>
        <v>Please fill in Project Acronym</v>
      </c>
      <c r="F13" s="142"/>
      <c r="G13" s="142"/>
      <c r="H13" s="142"/>
      <c r="I13" s="142"/>
      <c r="J13" s="142"/>
      <c r="K13" s="142"/>
      <c r="L13" s="142"/>
    </row>
    <row r="14" spans="2:12" ht="18" customHeight="1" x14ac:dyDescent="0.35">
      <c r="B14" s="140" t="s">
        <v>8</v>
      </c>
      <c r="C14" s="140"/>
      <c r="D14" s="143"/>
      <c r="E14" s="144"/>
      <c r="F14" s="144"/>
      <c r="G14" s="144"/>
      <c r="H14" s="144"/>
      <c r="I14" s="144"/>
      <c r="J14" s="144"/>
      <c r="K14" s="144"/>
      <c r="L14" s="145"/>
    </row>
    <row r="15" spans="2:12" ht="20.100000000000001" customHeight="1" x14ac:dyDescent="0.35">
      <c r="B15" s="4"/>
      <c r="C15" s="4"/>
      <c r="D15" s="4"/>
      <c r="E15" s="4"/>
      <c r="F15" s="4"/>
      <c r="G15" s="4"/>
      <c r="H15" s="4"/>
      <c r="I15" s="4"/>
      <c r="J15" s="4"/>
      <c r="K15" s="4"/>
    </row>
    <row r="16" spans="2:12" ht="24.9" customHeight="1" x14ac:dyDescent="0.35">
      <c r="B16" s="141" t="s">
        <v>9</v>
      </c>
      <c r="C16" s="141"/>
      <c r="D16" s="141"/>
      <c r="E16" s="141"/>
      <c r="F16" s="141"/>
      <c r="G16" s="141"/>
      <c r="H16" s="141"/>
      <c r="I16" s="141"/>
      <c r="J16" s="141"/>
      <c r="K16" s="141"/>
      <c r="L16" s="141"/>
    </row>
    <row r="17" spans="2:12" x14ac:dyDescent="0.35">
      <c r="B17" s="140" t="s">
        <v>10</v>
      </c>
      <c r="C17" s="140"/>
      <c r="D17" s="9">
        <f>'1. Staff costs'!D9</f>
        <v>242036</v>
      </c>
      <c r="E17" s="149" t="str">
        <f>"Cannot exceed 40% of total Grant requested"</f>
        <v>Cannot exceed 40% of total Grant requested</v>
      </c>
      <c r="F17" s="150"/>
      <c r="G17" s="150"/>
      <c r="H17" s="150"/>
      <c r="I17" s="151" t="str">
        <f>IF(COUNTIF('1. Staff costs'!T:T,"Error")&lt;=1,"","Please check data in Tab '1. Staff Costs'")</f>
        <v/>
      </c>
      <c r="J17" s="151"/>
      <c r="K17" s="151"/>
      <c r="L17" s="152"/>
    </row>
    <row r="18" spans="2:12" x14ac:dyDescent="0.35">
      <c r="B18" s="140" t="s">
        <v>11</v>
      </c>
      <c r="C18" s="140"/>
      <c r="D18" s="9">
        <f>' 2-3-6. Travel&amp;Costs of Stay'!D8</f>
        <v>8250</v>
      </c>
      <c r="E18" s="149"/>
      <c r="F18" s="150"/>
      <c r="G18" s="150"/>
      <c r="H18" s="150"/>
      <c r="I18" s="151" t="str">
        <f>IF(COUNTIF(' 2-3-6. Travel&amp;Costs of Stay'!R:R,"Error")&lt;=1,"","Please check data in Tab '2-3-6. Travel&amp;Costs of Stay'")</f>
        <v/>
      </c>
      <c r="J18" s="151"/>
      <c r="K18" s="151"/>
      <c r="L18" s="152"/>
    </row>
    <row r="19" spans="2:12" x14ac:dyDescent="0.35">
      <c r="B19" s="140" t="s">
        <v>12</v>
      </c>
      <c r="C19" s="140"/>
      <c r="D19" s="9">
        <f>' 2-3-6. Travel&amp;Costs of Stay'!D9</f>
        <v>218960</v>
      </c>
      <c r="E19" s="159"/>
      <c r="F19" s="160"/>
      <c r="G19" s="160"/>
      <c r="H19" s="160"/>
      <c r="I19" s="151" t="str">
        <f>IF(COUNTIF(' 2-3-6. Travel&amp;Costs of Stay'!R:R,"Error")&lt;=1,"","Please check data in Tab '2-3-6. Travel&amp;Costs of Stay'")</f>
        <v/>
      </c>
      <c r="J19" s="151"/>
      <c r="K19" s="151"/>
      <c r="L19" s="152"/>
    </row>
    <row r="20" spans="2:12" x14ac:dyDescent="0.35">
      <c r="B20" s="140" t="s">
        <v>13</v>
      </c>
      <c r="C20" s="140"/>
      <c r="D20" s="9">
        <f>'4. Equipment Costs'!C4</f>
        <v>210000</v>
      </c>
      <c r="E20" s="149" t="str">
        <f>"Cannot exceed 30% of Total Grant requested"</f>
        <v>Cannot exceed 30% of Total Grant requested</v>
      </c>
      <c r="F20" s="150"/>
      <c r="G20" s="150"/>
      <c r="H20" s="150"/>
      <c r="I20" s="151" t="str">
        <f>IF(COUNTIF('4. Equipment Costs'!I:I,"Error")&lt;=1,"","Please check data in Tab '4. Equipment Costs''")</f>
        <v/>
      </c>
      <c r="J20" s="151"/>
      <c r="K20" s="151"/>
      <c r="L20" s="152"/>
    </row>
    <row r="21" spans="2:12" x14ac:dyDescent="0.35">
      <c r="B21" s="140" t="s">
        <v>14</v>
      </c>
      <c r="C21" s="140"/>
      <c r="D21" s="9">
        <f>'5. Subcontracting Costs'!C4</f>
        <v>60000</v>
      </c>
      <c r="E21" s="149" t="str">
        <f>"Cannot exceed 10% of Total Grant requested"</f>
        <v>Cannot exceed 10% of Total Grant requested</v>
      </c>
      <c r="F21" s="150"/>
      <c r="G21" s="150"/>
      <c r="H21" s="150"/>
      <c r="I21" s="151" t="str">
        <f>IF(COUNTIF('5. Subcontracting Costs'!I:I,"Error")&lt;=1,"","Please check data in Tab '5. Subcontracting Costs'")</f>
        <v/>
      </c>
      <c r="J21" s="151"/>
      <c r="K21" s="151"/>
      <c r="L21" s="152"/>
    </row>
    <row r="22" spans="2:12" x14ac:dyDescent="0.35">
      <c r="B22" s="140" t="s">
        <v>15</v>
      </c>
      <c r="C22" s="140"/>
      <c r="D22" s="9">
        <f>IF(OR(C27="",D27=""),0,' 2-3-6. Travel&amp;Costs of Stay'!D10)</f>
        <v>90400</v>
      </c>
      <c r="E22" s="149"/>
      <c r="F22" s="150"/>
      <c r="G22" s="150"/>
      <c r="H22" s="150"/>
      <c r="I22" s="151" t="str">
        <f>IF(COUNTIF(' 2-3-6. Travel&amp;Costs of Stay'!R:R,"Error")&lt;=1,"","Please check data in Tab '2-3-6. Travel&amp;Costs of Stay'")</f>
        <v/>
      </c>
      <c r="J22" s="151"/>
      <c r="K22" s="151"/>
      <c r="L22" s="152"/>
    </row>
    <row r="23" spans="2:12" ht="24.9" customHeight="1" x14ac:dyDescent="0.35">
      <c r="B23" s="153" t="s">
        <v>16</v>
      </c>
      <c r="C23" s="154"/>
      <c r="D23" s="10">
        <f>SUM(D17:D22)</f>
        <v>829646</v>
      </c>
      <c r="E23" s="155" t="str">
        <f>"Should be equal or above EUR 500.000,00 and cannot exceed EUR 1.000.000,00"</f>
        <v>Should be equal or above EUR 500.000,00 and cannot exceed EUR 1.000.000,00</v>
      </c>
      <c r="F23" s="156"/>
      <c r="G23" s="156"/>
      <c r="H23" s="156"/>
      <c r="I23" s="157" t="str">
        <f>IF(OR(COUNTIF('Co-financing'!J:J,"Error")&lt;=1,AND('Co-financing'!B14="",'Co-financing'!E14="",'Co-financing'!F14="",'Co-financing'!G14="",'Co-financing'!H14=0)),"","Please check data in Tab 'Co-financing'")</f>
        <v/>
      </c>
      <c r="J23" s="157"/>
      <c r="K23" s="157"/>
      <c r="L23" s="158"/>
    </row>
    <row r="24" spans="2:12" ht="20.100000000000001" customHeight="1" x14ac:dyDescent="0.35">
      <c r="B24" s="4"/>
      <c r="C24" s="4"/>
      <c r="D24" s="4"/>
      <c r="E24" s="4"/>
      <c r="F24" s="4"/>
      <c r="G24" s="4"/>
      <c r="H24" s="4"/>
      <c r="I24" s="4"/>
      <c r="J24" s="4"/>
      <c r="K24" s="4"/>
    </row>
    <row r="25" spans="2:12" ht="24.9" customHeight="1" x14ac:dyDescent="0.35">
      <c r="B25" s="141" t="s">
        <v>17</v>
      </c>
      <c r="C25" s="141"/>
      <c r="D25" s="141"/>
      <c r="E25" s="141"/>
      <c r="F25" s="141"/>
      <c r="G25" s="141"/>
      <c r="H25" s="141"/>
      <c r="I25" s="141"/>
      <c r="J25" s="141"/>
      <c r="K25" s="141"/>
      <c r="L25" s="141"/>
    </row>
    <row r="26" spans="2:12" ht="36" x14ac:dyDescent="0.35">
      <c r="B26" s="46" t="s">
        <v>18</v>
      </c>
      <c r="C26" s="11" t="s">
        <v>19</v>
      </c>
      <c r="D26" s="11" t="s">
        <v>20</v>
      </c>
      <c r="E26" s="12" t="s">
        <v>21</v>
      </c>
      <c r="F26" s="12" t="s">
        <v>22</v>
      </c>
      <c r="G26" s="12" t="s">
        <v>23</v>
      </c>
      <c r="H26" s="12" t="s">
        <v>24</v>
      </c>
      <c r="I26" s="12" t="s">
        <v>25</v>
      </c>
      <c r="J26" s="12" t="s">
        <v>26</v>
      </c>
      <c r="K26" s="12" t="s">
        <v>15</v>
      </c>
      <c r="L26" s="13" t="s">
        <v>27</v>
      </c>
    </row>
    <row r="27" spans="2:12" x14ac:dyDescent="0.35">
      <c r="B27" s="44" t="s">
        <v>28</v>
      </c>
      <c r="C27" s="18" t="s">
        <v>29</v>
      </c>
      <c r="D27" s="14" t="s">
        <v>30</v>
      </c>
      <c r="E27" s="15" t="str">
        <f t="shared" ref="E27:E81" si="0">IFERROR(IF(D27&lt;&gt;"",VLOOKUP(D27,CountryType,2,FALSE),""),"Country not found")</f>
        <v>Programme Countries</v>
      </c>
      <c r="F27" s="16">
        <f>SUMIF('1. Staff costs'!C:C,B27,'1. Staff costs'!S:S)</f>
        <v>29355</v>
      </c>
      <c r="G27" s="16">
        <f>SUMIF(' 2-3-6. Travel&amp;Costs of Stay'!C:C,B27,' 2-3-6. Travel&amp;Costs of Stay'!O:O)</f>
        <v>0</v>
      </c>
      <c r="H27" s="16">
        <f>SUMIF(' 2-3-6. Travel&amp;Costs of Stay'!C:C,B27,' 2-3-6. Travel&amp;Costs of Stay'!P:P)</f>
        <v>0</v>
      </c>
      <c r="I27" s="16">
        <f>SUMIF('4. Equipment Costs'!C:C,B27,'4. Equipment Costs'!H:H)</f>
        <v>0</v>
      </c>
      <c r="J27" s="16">
        <f>SUMIF('5. Subcontracting Costs'!C:C,B27,'5. Subcontracting Costs'!H:H)</f>
        <v>20000</v>
      </c>
      <c r="K27" s="16">
        <f>SUMIF(' 2-3-6. Travel&amp;Costs of Stay'!C:C,B27,' 2-3-6. Travel&amp;Costs of Stay'!N:N)</f>
        <v>0</v>
      </c>
      <c r="L27" s="17">
        <f>IF(OR(C27="",D27=""),0,SUM(F27:K27))</f>
        <v>49355</v>
      </c>
    </row>
    <row r="28" spans="2:12" x14ac:dyDescent="0.35">
      <c r="B28" s="44" t="s">
        <v>31</v>
      </c>
      <c r="C28" s="18" t="s">
        <v>32</v>
      </c>
      <c r="D28" s="14" t="s">
        <v>30</v>
      </c>
      <c r="E28" s="15" t="str">
        <f t="shared" si="0"/>
        <v>Programme Countries</v>
      </c>
      <c r="F28" s="16">
        <f>SUMIF('1. Staff costs'!C:C,B28,'1. Staff costs'!S:S)</f>
        <v>10778</v>
      </c>
      <c r="G28" s="16">
        <f>SUMIF(' 2-3-6. Travel&amp;Costs of Stay'!C:C,B28,' 2-3-6. Travel&amp;Costs of Stay'!O:O)</f>
        <v>0</v>
      </c>
      <c r="H28" s="16">
        <f>SUMIF(' 2-3-6. Travel&amp;Costs of Stay'!C:C,B28,' 2-3-6. Travel&amp;Costs of Stay'!P:P)</f>
        <v>11300</v>
      </c>
      <c r="I28" s="16">
        <f>SUMIF('4. Equipment Costs'!C:C,B28,'4. Equipment Costs'!H:H)</f>
        <v>0</v>
      </c>
      <c r="J28" s="16">
        <f>SUMIF('5. Subcontracting Costs'!C:C,B28,'5. Subcontracting Costs'!H:H)</f>
        <v>0</v>
      </c>
      <c r="K28" s="16">
        <f>SUMIF(' 2-3-6. Travel&amp;Costs of Stay'!C:C,B28,' 2-3-6. Travel&amp;Costs of Stay'!N:N)</f>
        <v>8800</v>
      </c>
      <c r="L28" s="17">
        <f t="shared" ref="L28:L81" si="1">IF(OR(C28="",D28=""),0,SUM(F28:K28))</f>
        <v>30878</v>
      </c>
    </row>
    <row r="29" spans="2:12" x14ac:dyDescent="0.35">
      <c r="B29" s="44" t="s">
        <v>33</v>
      </c>
      <c r="C29" s="18" t="s">
        <v>34</v>
      </c>
      <c r="D29" s="14" t="s">
        <v>35</v>
      </c>
      <c r="E29" s="15" t="str">
        <f t="shared" si="0"/>
        <v>Programme Countries</v>
      </c>
      <c r="F29" s="16">
        <f>SUMIF('1. Staff costs'!C:C,B29,'1. Staff costs'!S:S)</f>
        <v>10304</v>
      </c>
      <c r="G29" s="16">
        <f>SUMIF(' 2-3-6. Travel&amp;Costs of Stay'!C:C,B29,' 2-3-6. Travel&amp;Costs of Stay'!O:O)</f>
        <v>4125</v>
      </c>
      <c r="H29" s="16">
        <f>SUMIF(' 2-3-6. Travel&amp;Costs of Stay'!C:C,B29,' 2-3-6. Travel&amp;Costs of Stay'!P:P)</f>
        <v>63800</v>
      </c>
      <c r="I29" s="16">
        <f>SUMIF('4. Equipment Costs'!C:C,B29,'4. Equipment Costs'!H:H)</f>
        <v>0</v>
      </c>
      <c r="J29" s="16">
        <f>SUMIF('5. Subcontracting Costs'!C:C,B29,'5. Subcontracting Costs'!H:H)</f>
        <v>0</v>
      </c>
      <c r="K29" s="16">
        <f>SUMIF(' 2-3-6. Travel&amp;Costs of Stay'!C:C,B29,' 2-3-6. Travel&amp;Costs of Stay'!N:N)</f>
        <v>8800</v>
      </c>
      <c r="L29" s="17">
        <f t="shared" si="1"/>
        <v>87029</v>
      </c>
    </row>
    <row r="30" spans="2:12" x14ac:dyDescent="0.35">
      <c r="B30" s="44" t="s">
        <v>36</v>
      </c>
      <c r="C30" s="18" t="s">
        <v>37</v>
      </c>
      <c r="D30" s="14" t="s">
        <v>38</v>
      </c>
      <c r="E30" s="15" t="str">
        <f t="shared" si="0"/>
        <v>Partner Countries</v>
      </c>
      <c r="F30" s="16">
        <f>SUMIF('1. Staff costs'!C:C,B30,'1. Staff costs'!S:S)</f>
        <v>270</v>
      </c>
      <c r="G30" s="16">
        <f>SUMIF(' 2-3-6. Travel&amp;Costs of Stay'!C:C,B30,' 2-3-6. Travel&amp;Costs of Stay'!O:O)</f>
        <v>0</v>
      </c>
      <c r="H30" s="16">
        <f>SUMIF(' 2-3-6. Travel&amp;Costs of Stay'!C:C,B30,' 2-3-6. Travel&amp;Costs of Stay'!P:P)</f>
        <v>11300</v>
      </c>
      <c r="I30" s="16">
        <f>SUMIF('4. Equipment Costs'!C:C,B30,'4. Equipment Costs'!H:H)</f>
        <v>0</v>
      </c>
      <c r="J30" s="16">
        <f>SUMIF('5. Subcontracting Costs'!C:C,B30,'5. Subcontracting Costs'!H:H)</f>
        <v>0</v>
      </c>
      <c r="K30" s="16">
        <f>SUMIF(' 2-3-6. Travel&amp;Costs of Stay'!C:C,B30,' 2-3-6. Travel&amp;Costs of Stay'!N:N)</f>
        <v>8800</v>
      </c>
      <c r="L30" s="17">
        <f t="shared" si="1"/>
        <v>20370</v>
      </c>
    </row>
    <row r="31" spans="2:12" x14ac:dyDescent="0.35">
      <c r="B31" s="44" t="s">
        <v>39</v>
      </c>
      <c r="C31" s="18" t="s">
        <v>40</v>
      </c>
      <c r="D31" s="14" t="s">
        <v>30</v>
      </c>
      <c r="E31" s="15" t="str">
        <f t="shared" si="0"/>
        <v>Programme Countries</v>
      </c>
      <c r="F31" s="16">
        <f>SUMIF('1. Staff costs'!C:C,B31,'1. Staff costs'!S:S)</f>
        <v>10070</v>
      </c>
      <c r="G31" s="16">
        <f>SUMIF(' 2-3-6. Travel&amp;Costs of Stay'!C:C,B31,' 2-3-6. Travel&amp;Costs of Stay'!O:O)</f>
        <v>0</v>
      </c>
      <c r="H31" s="16">
        <f>SUMIF(' 2-3-6. Travel&amp;Costs of Stay'!C:C,B31,' 2-3-6. Travel&amp;Costs of Stay'!P:P)</f>
        <v>9680</v>
      </c>
      <c r="I31" s="16">
        <f>SUMIF('4. Equipment Costs'!C:C,B31,'4. Equipment Costs'!H:H)</f>
        <v>0</v>
      </c>
      <c r="J31" s="16">
        <f>SUMIF('5. Subcontracting Costs'!C:C,B31,'5. Subcontracting Costs'!H:H)</f>
        <v>20000</v>
      </c>
      <c r="K31" s="16">
        <f>SUMIF(' 2-3-6. Travel&amp;Costs of Stay'!C:C,B31,' 2-3-6. Travel&amp;Costs of Stay'!N:N)</f>
        <v>4000</v>
      </c>
      <c r="L31" s="17">
        <f t="shared" si="1"/>
        <v>43750</v>
      </c>
    </row>
    <row r="32" spans="2:12" x14ac:dyDescent="0.35">
      <c r="B32" s="44" t="s">
        <v>41</v>
      </c>
      <c r="C32" s="18" t="s">
        <v>42</v>
      </c>
      <c r="D32" s="14" t="s">
        <v>43</v>
      </c>
      <c r="E32" s="15" t="str">
        <f t="shared" si="0"/>
        <v>Programme Countries</v>
      </c>
      <c r="F32" s="16">
        <f>SUMIF('1. Staff costs'!C:C,B32,'1. Staff costs'!S:S)</f>
        <v>17795</v>
      </c>
      <c r="G32" s="16">
        <f>SUMIF(' 2-3-6. Travel&amp;Costs of Stay'!C:C,B32,' 2-3-6. Travel&amp;Costs of Stay'!O:O)</f>
        <v>0</v>
      </c>
      <c r="H32" s="16">
        <f>SUMIF(' 2-3-6. Travel&amp;Costs of Stay'!C:C,B32,' 2-3-6. Travel&amp;Costs of Stay'!P:P)</f>
        <v>11300</v>
      </c>
      <c r="I32" s="16">
        <f>SUMIF('4. Equipment Costs'!C:C,B32,'4. Equipment Costs'!H:H)</f>
        <v>0</v>
      </c>
      <c r="J32" s="16">
        <f>SUMIF('5. Subcontracting Costs'!C:C,B32,'5. Subcontracting Costs'!H:H)</f>
        <v>0</v>
      </c>
      <c r="K32" s="16">
        <f>SUMIF(' 2-3-6. Travel&amp;Costs of Stay'!C:C,B32,' 2-3-6. Travel&amp;Costs of Stay'!N:N)</f>
        <v>8800</v>
      </c>
      <c r="L32" s="17">
        <f t="shared" si="1"/>
        <v>37895</v>
      </c>
    </row>
    <row r="33" spans="2:12" x14ac:dyDescent="0.35">
      <c r="B33" s="44" t="s">
        <v>44</v>
      </c>
      <c r="C33" s="18" t="s">
        <v>45</v>
      </c>
      <c r="D33" s="14" t="s">
        <v>30</v>
      </c>
      <c r="E33" s="15" t="str">
        <f t="shared" si="0"/>
        <v>Programme Countries</v>
      </c>
      <c r="F33" s="16">
        <f>SUMIF('1. Staff costs'!C:C,B33,'1. Staff costs'!S:S)</f>
        <v>31872</v>
      </c>
      <c r="G33" s="16">
        <f>SUMIF(' 2-3-6. Travel&amp;Costs of Stay'!C:C,B33,' 2-3-6. Travel&amp;Costs of Stay'!O:O)</f>
        <v>0</v>
      </c>
      <c r="H33" s="16">
        <f>SUMIF(' 2-3-6. Travel&amp;Costs of Stay'!C:C,B33,' 2-3-6. Travel&amp;Costs of Stay'!P:P)</f>
        <v>2580</v>
      </c>
      <c r="I33" s="16">
        <f>SUMIF('4. Equipment Costs'!C:C,B33,'4. Equipment Costs'!H:H)</f>
        <v>0</v>
      </c>
      <c r="J33" s="16">
        <f>SUMIF('5. Subcontracting Costs'!C:C,B33,'5. Subcontracting Costs'!H:H)</f>
        <v>0</v>
      </c>
      <c r="K33" s="16">
        <f>SUMIF(' 2-3-6. Travel&amp;Costs of Stay'!C:C,B33,' 2-3-6. Travel&amp;Costs of Stay'!N:N)</f>
        <v>7200</v>
      </c>
      <c r="L33" s="17">
        <f t="shared" si="1"/>
        <v>41652</v>
      </c>
    </row>
    <row r="34" spans="2:12" x14ac:dyDescent="0.35">
      <c r="B34" s="44" t="s">
        <v>46</v>
      </c>
      <c r="C34" s="18" t="s">
        <v>47</v>
      </c>
      <c r="D34" s="14" t="s">
        <v>48</v>
      </c>
      <c r="E34" s="15" t="str">
        <f t="shared" si="0"/>
        <v>Partner Countries</v>
      </c>
      <c r="F34" s="16">
        <f>SUMIF('1. Staff costs'!C:C,B34,'1. Staff costs'!S:S)</f>
        <v>13134</v>
      </c>
      <c r="G34" s="16">
        <f>SUMIF(' 2-3-6. Travel&amp;Costs of Stay'!C:C,B34,' 2-3-6. Travel&amp;Costs of Stay'!O:O)</f>
        <v>0</v>
      </c>
      <c r="H34" s="16">
        <f>SUMIF(' 2-3-6. Travel&amp;Costs of Stay'!C:C,B34,' 2-3-6. Travel&amp;Costs of Stay'!P:P)</f>
        <v>11300</v>
      </c>
      <c r="I34" s="16">
        <f>SUMIF('4. Equipment Costs'!C:C,B34,'4. Equipment Costs'!H:H)</f>
        <v>210000</v>
      </c>
      <c r="J34" s="16">
        <f>SUMIF('5. Subcontracting Costs'!C:C,B34,'5. Subcontracting Costs'!H:H)</f>
        <v>0</v>
      </c>
      <c r="K34" s="16">
        <f>SUMIF(' 2-3-6. Travel&amp;Costs of Stay'!C:C,B34,' 2-3-6. Travel&amp;Costs of Stay'!N:N)</f>
        <v>8800</v>
      </c>
      <c r="L34" s="17">
        <f t="shared" si="1"/>
        <v>243234</v>
      </c>
    </row>
    <row r="35" spans="2:12" x14ac:dyDescent="0.35">
      <c r="B35" s="44" t="s">
        <v>49</v>
      </c>
      <c r="C35" s="18" t="s">
        <v>50</v>
      </c>
      <c r="D35" s="14" t="s">
        <v>30</v>
      </c>
      <c r="E35" s="15" t="str">
        <f t="shared" si="0"/>
        <v>Programme Countries</v>
      </c>
      <c r="F35" s="16">
        <f>SUMIF('1. Staff costs'!C:C,B35,'1. Staff costs'!S:S)</f>
        <v>10304</v>
      </c>
      <c r="G35" s="16">
        <f>SUMIF(' 2-3-6. Travel&amp;Costs of Stay'!C:C,B35,' 2-3-6. Travel&amp;Costs of Stay'!O:O)</f>
        <v>0</v>
      </c>
      <c r="H35" s="16">
        <f>SUMIF(' 2-3-6. Travel&amp;Costs of Stay'!C:C,B35,' 2-3-6. Travel&amp;Costs of Stay'!P:P)</f>
        <v>1620</v>
      </c>
      <c r="I35" s="16">
        <f>SUMIF('4. Equipment Costs'!C:C,B35,'4. Equipment Costs'!H:H)</f>
        <v>0</v>
      </c>
      <c r="J35" s="16">
        <f>SUMIF('5. Subcontracting Costs'!C:C,B35,'5. Subcontracting Costs'!H:H)</f>
        <v>0</v>
      </c>
      <c r="K35" s="16">
        <f>SUMIF(' 2-3-6. Travel&amp;Costs of Stay'!C:C,B35,' 2-3-6. Travel&amp;Costs of Stay'!N:N)</f>
        <v>4800</v>
      </c>
      <c r="L35" s="17">
        <f t="shared" si="1"/>
        <v>16724</v>
      </c>
    </row>
    <row r="36" spans="2:12" x14ac:dyDescent="0.35">
      <c r="B36" s="44" t="s">
        <v>51</v>
      </c>
      <c r="C36" s="18" t="s">
        <v>52</v>
      </c>
      <c r="D36" s="14" t="s">
        <v>53</v>
      </c>
      <c r="E36" s="15" t="str">
        <f t="shared" si="0"/>
        <v>Programme Countries</v>
      </c>
      <c r="F36" s="16">
        <f>SUMIF('1. Staff costs'!C:C,B36,'1. Staff costs'!S:S)</f>
        <v>24327</v>
      </c>
      <c r="G36" s="16">
        <f>SUMIF(' 2-3-6. Travel&amp;Costs of Stay'!C:C,B36,' 2-3-6. Travel&amp;Costs of Stay'!O:O)</f>
        <v>4125</v>
      </c>
      <c r="H36" s="16">
        <f>SUMIF(' 2-3-6. Travel&amp;Costs of Stay'!C:C,B36,' 2-3-6. Travel&amp;Costs of Stay'!P:P)</f>
        <v>63800</v>
      </c>
      <c r="I36" s="16">
        <f>SUMIF('4. Equipment Costs'!C:C,B36,'4. Equipment Costs'!H:H)</f>
        <v>0</v>
      </c>
      <c r="J36" s="16">
        <f>SUMIF('5. Subcontracting Costs'!C:C,B36,'5. Subcontracting Costs'!H:H)</f>
        <v>20000</v>
      </c>
      <c r="K36" s="16">
        <f>SUMIF(' 2-3-6. Travel&amp;Costs of Stay'!C:C,B36,' 2-3-6. Travel&amp;Costs of Stay'!N:N)</f>
        <v>8800</v>
      </c>
      <c r="L36" s="17">
        <f t="shared" si="1"/>
        <v>121052</v>
      </c>
    </row>
    <row r="37" spans="2:12" x14ac:dyDescent="0.35">
      <c r="B37" s="44" t="s">
        <v>54</v>
      </c>
      <c r="C37" s="18" t="s">
        <v>55</v>
      </c>
      <c r="D37" s="14" t="s">
        <v>56</v>
      </c>
      <c r="E37" s="15" t="str">
        <f t="shared" si="0"/>
        <v>Programme Countries</v>
      </c>
      <c r="F37" s="16">
        <f>SUMIF('1. Staff costs'!C:C,B37,'1. Staff costs'!S:S)</f>
        <v>20168</v>
      </c>
      <c r="G37" s="16">
        <f>SUMIF(' 2-3-6. Travel&amp;Costs of Stay'!C:C,B37,' 2-3-6. Travel&amp;Costs of Stay'!O:O)</f>
        <v>0</v>
      </c>
      <c r="H37" s="16">
        <f>SUMIF(' 2-3-6. Travel&amp;Costs of Stay'!C:C,B37,' 2-3-6. Travel&amp;Costs of Stay'!P:P)</f>
        <v>11300</v>
      </c>
      <c r="I37" s="16">
        <f>SUMIF('4. Equipment Costs'!C:C,B37,'4. Equipment Costs'!H:H)</f>
        <v>0</v>
      </c>
      <c r="J37" s="16">
        <f>SUMIF('5. Subcontracting Costs'!C:C,B37,'5. Subcontracting Costs'!H:H)</f>
        <v>0</v>
      </c>
      <c r="K37" s="16">
        <f>SUMIF(' 2-3-6. Travel&amp;Costs of Stay'!C:C,B37,' 2-3-6. Travel&amp;Costs of Stay'!N:N)</f>
        <v>8800</v>
      </c>
      <c r="L37" s="17">
        <f t="shared" si="1"/>
        <v>40268</v>
      </c>
    </row>
    <row r="38" spans="2:12" x14ac:dyDescent="0.35">
      <c r="B38" s="44" t="s">
        <v>57</v>
      </c>
      <c r="C38" s="18" t="s">
        <v>58</v>
      </c>
      <c r="D38" s="14" t="s">
        <v>30</v>
      </c>
      <c r="E38" s="15" t="str">
        <f t="shared" si="0"/>
        <v>Programme Countries</v>
      </c>
      <c r="F38" s="16">
        <f>SUMIF('1. Staff costs'!C:C,B38,'1. Staff costs'!S:S)</f>
        <v>17164</v>
      </c>
      <c r="G38" s="16">
        <f>SUMIF(' 2-3-6. Travel&amp;Costs of Stay'!C:C,B38,' 2-3-6. Travel&amp;Costs of Stay'!O:O)</f>
        <v>0</v>
      </c>
      <c r="H38" s="16">
        <f>SUMIF(' 2-3-6. Travel&amp;Costs of Stay'!C:C,B38,' 2-3-6. Travel&amp;Costs of Stay'!P:P)</f>
        <v>9680</v>
      </c>
      <c r="I38" s="16">
        <f>SUMIF('4. Equipment Costs'!C:C,B38,'4. Equipment Costs'!H:H)</f>
        <v>0</v>
      </c>
      <c r="J38" s="16">
        <f>SUMIF('5. Subcontracting Costs'!C:C,B38,'5. Subcontracting Costs'!H:H)</f>
        <v>0</v>
      </c>
      <c r="K38" s="16">
        <f>SUMIF(' 2-3-6. Travel&amp;Costs of Stay'!C:C,B38,' 2-3-6. Travel&amp;Costs of Stay'!N:N)</f>
        <v>4000</v>
      </c>
      <c r="L38" s="17">
        <f t="shared" si="1"/>
        <v>30844</v>
      </c>
    </row>
    <row r="39" spans="2:12" x14ac:dyDescent="0.35">
      <c r="B39" s="44" t="s">
        <v>59</v>
      </c>
      <c r="C39" s="18" t="s">
        <v>60</v>
      </c>
      <c r="D39" s="14" t="s">
        <v>61</v>
      </c>
      <c r="E39" s="15" t="str">
        <f t="shared" si="0"/>
        <v>Programme Countries</v>
      </c>
      <c r="F39" s="16">
        <f>SUMIF('1. Staff costs'!C:C,B39,'1. Staff costs'!S:S)</f>
        <v>45637</v>
      </c>
      <c r="G39" s="16">
        <f>SUMIF(' 2-3-6. Travel&amp;Costs of Stay'!C:C,B39,' 2-3-6. Travel&amp;Costs of Stay'!O:O)</f>
        <v>0</v>
      </c>
      <c r="H39" s="16">
        <f>SUMIF(' 2-3-6. Travel&amp;Costs of Stay'!C:C,B39,' 2-3-6. Travel&amp;Costs of Stay'!P:P)</f>
        <v>11300</v>
      </c>
      <c r="I39" s="16">
        <f>SUMIF('4. Equipment Costs'!C:C,B39,'4. Equipment Costs'!H:H)</f>
        <v>0</v>
      </c>
      <c r="J39" s="16">
        <f>SUMIF('5. Subcontracting Costs'!C:C,B39,'5. Subcontracting Costs'!H:H)</f>
        <v>0</v>
      </c>
      <c r="K39" s="16">
        <f>SUMIF(' 2-3-6. Travel&amp;Costs of Stay'!C:C,B39,' 2-3-6. Travel&amp;Costs of Stay'!N:N)</f>
        <v>8800</v>
      </c>
      <c r="L39" s="17">
        <f t="shared" si="1"/>
        <v>65737</v>
      </c>
    </row>
    <row r="40" spans="2:12" x14ac:dyDescent="0.35">
      <c r="B40" s="44" t="s">
        <v>62</v>
      </c>
      <c r="C40" s="18" t="s">
        <v>405</v>
      </c>
      <c r="D40" s="14" t="s">
        <v>30</v>
      </c>
      <c r="E40" s="15" t="str">
        <f t="shared" si="0"/>
        <v>Programme Countries</v>
      </c>
      <c r="F40" s="16">
        <f>SUMIF('1. Staff costs'!C:C,B40,'1. Staff costs'!S:S)</f>
        <v>858</v>
      </c>
      <c r="G40" s="16">
        <f>SUMIF(' 2-3-6. Travel&amp;Costs of Stay'!C:C,B40,' 2-3-6. Travel&amp;Costs of Stay'!O:O)</f>
        <v>0</v>
      </c>
      <c r="H40" s="16">
        <f>SUMIF(' 2-3-6. Travel&amp;Costs of Stay'!C:C,B40,' 2-3-6. Travel&amp;Costs of Stay'!P:P)</f>
        <v>0</v>
      </c>
      <c r="I40" s="16">
        <f>SUMIF('4. Equipment Costs'!C:C,B40,'4. Equipment Costs'!H:H)</f>
        <v>0</v>
      </c>
      <c r="J40" s="16">
        <f>SUMIF('5. Subcontracting Costs'!C:C,B40,'5. Subcontracting Costs'!H:H)</f>
        <v>0</v>
      </c>
      <c r="K40" s="16">
        <f>SUMIF(' 2-3-6. Travel&amp;Costs of Stay'!C:C,B40,' 2-3-6. Travel&amp;Costs of Stay'!N:N)</f>
        <v>0</v>
      </c>
      <c r="L40" s="17">
        <f t="shared" si="1"/>
        <v>858</v>
      </c>
    </row>
    <row r="41" spans="2:12" x14ac:dyDescent="0.35">
      <c r="B41" s="44" t="s">
        <v>63</v>
      </c>
      <c r="C41" s="18"/>
      <c r="D41" s="14"/>
      <c r="E41" s="15" t="str">
        <f t="shared" si="0"/>
        <v/>
      </c>
      <c r="F41" s="16">
        <f>SUMIF('1. Staff costs'!C:C,B41,'1. Staff costs'!S:S)</f>
        <v>0</v>
      </c>
      <c r="G41" s="16">
        <f>SUMIF(' 2-3-6. Travel&amp;Costs of Stay'!C:C,B41,' 2-3-6. Travel&amp;Costs of Stay'!O:O)</f>
        <v>0</v>
      </c>
      <c r="H41" s="16">
        <f>SUMIF(' 2-3-6. Travel&amp;Costs of Stay'!C:C,B41,' 2-3-6. Travel&amp;Costs of Stay'!P:P)</f>
        <v>0</v>
      </c>
      <c r="I41" s="16">
        <f>SUMIF('4. Equipment Costs'!C:C,B41,'4. Equipment Costs'!H:H)</f>
        <v>0</v>
      </c>
      <c r="J41" s="16">
        <f>SUMIF('5. Subcontracting Costs'!C:C,B41,'5. Subcontracting Costs'!H:H)</f>
        <v>0</v>
      </c>
      <c r="K41" s="16">
        <f>SUMIF(' 2-3-6. Travel&amp;Costs of Stay'!C:C,B41,' 2-3-6. Travel&amp;Costs of Stay'!N:N)</f>
        <v>0</v>
      </c>
      <c r="L41" s="17">
        <f t="shared" si="1"/>
        <v>0</v>
      </c>
    </row>
    <row r="42" spans="2:12" x14ac:dyDescent="0.35">
      <c r="B42" s="44" t="s">
        <v>64</v>
      </c>
      <c r="C42" s="18"/>
      <c r="D42" s="14"/>
      <c r="E42" s="15" t="str">
        <f t="shared" si="0"/>
        <v/>
      </c>
      <c r="F42" s="16">
        <f>SUMIF('1. Staff costs'!C:C,B42,'1. Staff costs'!S:S)</f>
        <v>0</v>
      </c>
      <c r="G42" s="16">
        <f>SUMIF(' 2-3-6. Travel&amp;Costs of Stay'!C:C,B42,' 2-3-6. Travel&amp;Costs of Stay'!O:O)</f>
        <v>0</v>
      </c>
      <c r="H42" s="16">
        <f>SUMIF(' 2-3-6. Travel&amp;Costs of Stay'!C:C,B42,' 2-3-6. Travel&amp;Costs of Stay'!P:P)</f>
        <v>0</v>
      </c>
      <c r="I42" s="16">
        <f>SUMIF('4. Equipment Costs'!C:C,B42,'4. Equipment Costs'!H:H)</f>
        <v>0</v>
      </c>
      <c r="J42" s="16">
        <f>SUMIF('5. Subcontracting Costs'!C:C,B42,'5. Subcontracting Costs'!H:H)</f>
        <v>0</v>
      </c>
      <c r="K42" s="16">
        <f>SUMIF(' 2-3-6. Travel&amp;Costs of Stay'!C:C,B42,' 2-3-6. Travel&amp;Costs of Stay'!N:N)</f>
        <v>0</v>
      </c>
      <c r="L42" s="17">
        <f t="shared" si="1"/>
        <v>0</v>
      </c>
    </row>
    <row r="43" spans="2:12" x14ac:dyDescent="0.35">
      <c r="B43" s="44" t="s">
        <v>65</v>
      </c>
      <c r="C43" s="18"/>
      <c r="D43" s="14"/>
      <c r="E43" s="15" t="str">
        <f t="shared" si="0"/>
        <v/>
      </c>
      <c r="F43" s="16">
        <f>SUMIF('1. Staff costs'!C:C,B43,'1. Staff costs'!S:S)</f>
        <v>0</v>
      </c>
      <c r="G43" s="16">
        <f>SUMIF(' 2-3-6. Travel&amp;Costs of Stay'!C:C,B43,' 2-3-6. Travel&amp;Costs of Stay'!O:O)</f>
        <v>0</v>
      </c>
      <c r="H43" s="16">
        <f>SUMIF(' 2-3-6. Travel&amp;Costs of Stay'!C:C,B43,' 2-3-6. Travel&amp;Costs of Stay'!P:P)</f>
        <v>0</v>
      </c>
      <c r="I43" s="16">
        <f>SUMIF('4. Equipment Costs'!C:C,B43,'4. Equipment Costs'!H:H)</f>
        <v>0</v>
      </c>
      <c r="J43" s="16">
        <f>SUMIF('5. Subcontracting Costs'!C:C,B43,'5. Subcontracting Costs'!H:H)</f>
        <v>0</v>
      </c>
      <c r="K43" s="16">
        <f>SUMIF(' 2-3-6. Travel&amp;Costs of Stay'!C:C,B43,' 2-3-6. Travel&amp;Costs of Stay'!N:N)</f>
        <v>0</v>
      </c>
      <c r="L43" s="17">
        <f t="shared" si="1"/>
        <v>0</v>
      </c>
    </row>
    <row r="44" spans="2:12" x14ac:dyDescent="0.35">
      <c r="B44" s="44" t="s">
        <v>66</v>
      </c>
      <c r="C44" s="18"/>
      <c r="D44" s="14"/>
      <c r="E44" s="15" t="str">
        <f t="shared" si="0"/>
        <v/>
      </c>
      <c r="F44" s="16">
        <f>SUMIF('1. Staff costs'!C:C,B44,'1. Staff costs'!S:S)</f>
        <v>0</v>
      </c>
      <c r="G44" s="16">
        <f>SUMIF(' 2-3-6. Travel&amp;Costs of Stay'!C:C,B44,' 2-3-6. Travel&amp;Costs of Stay'!O:O)</f>
        <v>0</v>
      </c>
      <c r="H44" s="16">
        <f>SUMIF(' 2-3-6. Travel&amp;Costs of Stay'!C:C,B44,' 2-3-6. Travel&amp;Costs of Stay'!P:P)</f>
        <v>0</v>
      </c>
      <c r="I44" s="16">
        <f>SUMIF('4. Equipment Costs'!C:C,B44,'4. Equipment Costs'!H:H)</f>
        <v>0</v>
      </c>
      <c r="J44" s="16">
        <f>SUMIF('5. Subcontracting Costs'!C:C,B44,'5. Subcontracting Costs'!H:H)</f>
        <v>0</v>
      </c>
      <c r="K44" s="16">
        <f>SUMIF(' 2-3-6. Travel&amp;Costs of Stay'!C:C,B44,' 2-3-6. Travel&amp;Costs of Stay'!N:N)</f>
        <v>0</v>
      </c>
      <c r="L44" s="17">
        <f t="shared" si="1"/>
        <v>0</v>
      </c>
    </row>
    <row r="45" spans="2:12" x14ac:dyDescent="0.35">
      <c r="B45" s="44" t="s">
        <v>67</v>
      </c>
      <c r="C45" s="18"/>
      <c r="D45" s="14"/>
      <c r="E45" s="15" t="str">
        <f t="shared" si="0"/>
        <v/>
      </c>
      <c r="F45" s="16">
        <f>SUMIF('1. Staff costs'!C:C,B45,'1. Staff costs'!S:S)</f>
        <v>0</v>
      </c>
      <c r="G45" s="16">
        <f>SUMIF(' 2-3-6. Travel&amp;Costs of Stay'!C:C,B45,' 2-3-6. Travel&amp;Costs of Stay'!O:O)</f>
        <v>0</v>
      </c>
      <c r="H45" s="16">
        <f>SUMIF(' 2-3-6. Travel&amp;Costs of Stay'!C:C,B45,' 2-3-6. Travel&amp;Costs of Stay'!P:P)</f>
        <v>0</v>
      </c>
      <c r="I45" s="16">
        <f>SUMIF('4. Equipment Costs'!C:C,B45,'4. Equipment Costs'!H:H)</f>
        <v>0</v>
      </c>
      <c r="J45" s="16">
        <f>SUMIF('5. Subcontracting Costs'!C:C,B45,'5. Subcontracting Costs'!H:H)</f>
        <v>0</v>
      </c>
      <c r="K45" s="16">
        <f>SUMIF(' 2-3-6. Travel&amp;Costs of Stay'!C:C,B45,' 2-3-6. Travel&amp;Costs of Stay'!N:N)</f>
        <v>0</v>
      </c>
      <c r="L45" s="17">
        <f t="shared" si="1"/>
        <v>0</v>
      </c>
    </row>
    <row r="46" spans="2:12" x14ac:dyDescent="0.35">
      <c r="B46" s="44" t="s">
        <v>68</v>
      </c>
      <c r="C46" s="18"/>
      <c r="D46" s="14"/>
      <c r="E46" s="15" t="str">
        <f t="shared" si="0"/>
        <v/>
      </c>
      <c r="F46" s="16">
        <f>SUMIF('1. Staff costs'!C:C,B46,'1. Staff costs'!S:S)</f>
        <v>0</v>
      </c>
      <c r="G46" s="16">
        <f>SUMIF(' 2-3-6. Travel&amp;Costs of Stay'!C:C,B46,' 2-3-6. Travel&amp;Costs of Stay'!O:O)</f>
        <v>0</v>
      </c>
      <c r="H46" s="16">
        <f>SUMIF(' 2-3-6. Travel&amp;Costs of Stay'!C:C,B46,' 2-3-6. Travel&amp;Costs of Stay'!P:P)</f>
        <v>0</v>
      </c>
      <c r="I46" s="16">
        <f>SUMIF('4. Equipment Costs'!C:C,B46,'4. Equipment Costs'!H:H)</f>
        <v>0</v>
      </c>
      <c r="J46" s="16">
        <f>SUMIF('5. Subcontracting Costs'!C:C,B46,'5. Subcontracting Costs'!H:H)</f>
        <v>0</v>
      </c>
      <c r="K46" s="16">
        <f>SUMIF(' 2-3-6. Travel&amp;Costs of Stay'!C:C,B46,' 2-3-6. Travel&amp;Costs of Stay'!N:N)</f>
        <v>0</v>
      </c>
      <c r="L46" s="17">
        <f t="shared" si="1"/>
        <v>0</v>
      </c>
    </row>
    <row r="47" spans="2:12" x14ac:dyDescent="0.35">
      <c r="B47" s="44" t="s">
        <v>69</v>
      </c>
      <c r="C47" s="18"/>
      <c r="D47" s="14"/>
      <c r="E47" s="15" t="str">
        <f t="shared" si="0"/>
        <v/>
      </c>
      <c r="F47" s="16">
        <f>SUMIF('1. Staff costs'!C:C,B47,'1. Staff costs'!S:S)</f>
        <v>0</v>
      </c>
      <c r="G47" s="16">
        <f>SUMIF(' 2-3-6. Travel&amp;Costs of Stay'!C:C,B47,' 2-3-6. Travel&amp;Costs of Stay'!O:O)</f>
        <v>0</v>
      </c>
      <c r="H47" s="16">
        <f>SUMIF(' 2-3-6. Travel&amp;Costs of Stay'!C:C,B47,' 2-3-6. Travel&amp;Costs of Stay'!P:P)</f>
        <v>0</v>
      </c>
      <c r="I47" s="16">
        <f>SUMIF('4. Equipment Costs'!C:C,B47,'4. Equipment Costs'!H:H)</f>
        <v>0</v>
      </c>
      <c r="J47" s="16">
        <f>SUMIF('5. Subcontracting Costs'!C:C,B47,'5. Subcontracting Costs'!H:H)</f>
        <v>0</v>
      </c>
      <c r="K47" s="16">
        <f>SUMIF(' 2-3-6. Travel&amp;Costs of Stay'!C:C,B47,' 2-3-6. Travel&amp;Costs of Stay'!N:N)</f>
        <v>0</v>
      </c>
      <c r="L47" s="17">
        <f t="shared" si="1"/>
        <v>0</v>
      </c>
    </row>
    <row r="48" spans="2:12" x14ac:dyDescent="0.35">
      <c r="B48" s="44" t="s">
        <v>70</v>
      </c>
      <c r="C48" s="18"/>
      <c r="D48" s="14"/>
      <c r="E48" s="15" t="str">
        <f t="shared" si="0"/>
        <v/>
      </c>
      <c r="F48" s="16">
        <f>SUMIF('1. Staff costs'!C:C,B48,'1. Staff costs'!S:S)</f>
        <v>0</v>
      </c>
      <c r="G48" s="16">
        <f>SUMIF(' 2-3-6. Travel&amp;Costs of Stay'!C:C,B48,' 2-3-6. Travel&amp;Costs of Stay'!O:O)</f>
        <v>0</v>
      </c>
      <c r="H48" s="16">
        <f>SUMIF(' 2-3-6. Travel&amp;Costs of Stay'!C:C,B48,' 2-3-6. Travel&amp;Costs of Stay'!P:P)</f>
        <v>0</v>
      </c>
      <c r="I48" s="16">
        <f>SUMIF('4. Equipment Costs'!C:C,B48,'4. Equipment Costs'!H:H)</f>
        <v>0</v>
      </c>
      <c r="J48" s="16">
        <f>SUMIF('5. Subcontracting Costs'!C:C,B48,'5. Subcontracting Costs'!H:H)</f>
        <v>0</v>
      </c>
      <c r="K48" s="16">
        <f>SUMIF(' 2-3-6. Travel&amp;Costs of Stay'!C:C,B48,' 2-3-6. Travel&amp;Costs of Stay'!N:N)</f>
        <v>0</v>
      </c>
      <c r="L48" s="17">
        <f t="shared" si="1"/>
        <v>0</v>
      </c>
    </row>
    <row r="49" spans="2:12" x14ac:dyDescent="0.35">
      <c r="B49" s="44" t="s">
        <v>71</v>
      </c>
      <c r="C49" s="18"/>
      <c r="D49" s="14"/>
      <c r="E49" s="15" t="str">
        <f t="shared" si="0"/>
        <v/>
      </c>
      <c r="F49" s="16">
        <f>SUMIF('1. Staff costs'!C:C,B49,'1. Staff costs'!S:S)</f>
        <v>0</v>
      </c>
      <c r="G49" s="16">
        <f>SUMIF(' 2-3-6. Travel&amp;Costs of Stay'!C:C,B49,' 2-3-6. Travel&amp;Costs of Stay'!O:O)</f>
        <v>0</v>
      </c>
      <c r="H49" s="16">
        <f>SUMIF(' 2-3-6. Travel&amp;Costs of Stay'!C:C,B49,' 2-3-6. Travel&amp;Costs of Stay'!P:P)</f>
        <v>0</v>
      </c>
      <c r="I49" s="16">
        <f>SUMIF('4. Equipment Costs'!C:C,B49,'4. Equipment Costs'!H:H)</f>
        <v>0</v>
      </c>
      <c r="J49" s="16">
        <f>SUMIF('5. Subcontracting Costs'!C:C,B49,'5. Subcontracting Costs'!H:H)</f>
        <v>0</v>
      </c>
      <c r="K49" s="16">
        <f>SUMIF(' 2-3-6. Travel&amp;Costs of Stay'!C:C,B49,' 2-3-6. Travel&amp;Costs of Stay'!N:N)</f>
        <v>0</v>
      </c>
      <c r="L49" s="17">
        <f t="shared" si="1"/>
        <v>0</v>
      </c>
    </row>
    <row r="50" spans="2:12" x14ac:dyDescent="0.35">
      <c r="B50" s="44" t="s">
        <v>72</v>
      </c>
      <c r="C50" s="18"/>
      <c r="D50" s="14"/>
      <c r="E50" s="15" t="str">
        <f t="shared" si="0"/>
        <v/>
      </c>
      <c r="F50" s="16">
        <f>SUMIF('1. Staff costs'!C:C,B50,'1. Staff costs'!S:S)</f>
        <v>0</v>
      </c>
      <c r="G50" s="16">
        <f>SUMIF(' 2-3-6. Travel&amp;Costs of Stay'!C:C,B50,' 2-3-6. Travel&amp;Costs of Stay'!O:O)</f>
        <v>0</v>
      </c>
      <c r="H50" s="16">
        <f>SUMIF(' 2-3-6. Travel&amp;Costs of Stay'!C:C,B50,' 2-3-6. Travel&amp;Costs of Stay'!P:P)</f>
        <v>0</v>
      </c>
      <c r="I50" s="16">
        <f>SUMIF('4. Equipment Costs'!C:C,B50,'4. Equipment Costs'!H:H)</f>
        <v>0</v>
      </c>
      <c r="J50" s="16">
        <f>SUMIF('5. Subcontracting Costs'!C:C,B50,'5. Subcontracting Costs'!H:H)</f>
        <v>0</v>
      </c>
      <c r="K50" s="16">
        <f>SUMIF(' 2-3-6. Travel&amp;Costs of Stay'!C:C,B50,' 2-3-6. Travel&amp;Costs of Stay'!N:N)</f>
        <v>0</v>
      </c>
      <c r="L50" s="17">
        <f t="shared" si="1"/>
        <v>0</v>
      </c>
    </row>
    <row r="51" spans="2:12" x14ac:dyDescent="0.35">
      <c r="B51" s="44" t="s">
        <v>73</v>
      </c>
      <c r="C51" s="18"/>
      <c r="D51" s="14"/>
      <c r="E51" s="15" t="str">
        <f t="shared" si="0"/>
        <v/>
      </c>
      <c r="F51" s="16">
        <f>SUMIF('1. Staff costs'!C:C,B51,'1. Staff costs'!S:S)</f>
        <v>0</v>
      </c>
      <c r="G51" s="16">
        <f>SUMIF(' 2-3-6. Travel&amp;Costs of Stay'!C:C,B51,' 2-3-6. Travel&amp;Costs of Stay'!O:O)</f>
        <v>0</v>
      </c>
      <c r="H51" s="16">
        <f>SUMIF(' 2-3-6. Travel&amp;Costs of Stay'!C:C,B51,' 2-3-6. Travel&amp;Costs of Stay'!P:P)</f>
        <v>0</v>
      </c>
      <c r="I51" s="16">
        <f>SUMIF('4. Equipment Costs'!C:C,B51,'4. Equipment Costs'!H:H)</f>
        <v>0</v>
      </c>
      <c r="J51" s="16">
        <f>SUMIF('5. Subcontracting Costs'!C:C,B51,'5. Subcontracting Costs'!H:H)</f>
        <v>0</v>
      </c>
      <c r="K51" s="16">
        <f>SUMIF(' 2-3-6. Travel&amp;Costs of Stay'!C:C,B51,' 2-3-6. Travel&amp;Costs of Stay'!N:N)</f>
        <v>0</v>
      </c>
      <c r="L51" s="17">
        <f t="shared" si="1"/>
        <v>0</v>
      </c>
    </row>
    <row r="52" spans="2:12" x14ac:dyDescent="0.35">
      <c r="B52" s="44" t="s">
        <v>74</v>
      </c>
      <c r="C52" s="18"/>
      <c r="D52" s="14"/>
      <c r="E52" s="15" t="str">
        <f t="shared" si="0"/>
        <v/>
      </c>
      <c r="F52" s="16">
        <f>SUMIF('1. Staff costs'!C:C,B52,'1. Staff costs'!S:S)</f>
        <v>0</v>
      </c>
      <c r="G52" s="16">
        <f>SUMIF(' 2-3-6. Travel&amp;Costs of Stay'!C:C,B52,' 2-3-6. Travel&amp;Costs of Stay'!O:O)</f>
        <v>0</v>
      </c>
      <c r="H52" s="16">
        <f>SUMIF(' 2-3-6. Travel&amp;Costs of Stay'!C:C,B52,' 2-3-6. Travel&amp;Costs of Stay'!P:P)</f>
        <v>0</v>
      </c>
      <c r="I52" s="16">
        <f>SUMIF('4. Equipment Costs'!C:C,B52,'4. Equipment Costs'!H:H)</f>
        <v>0</v>
      </c>
      <c r="J52" s="16">
        <f>SUMIF('5. Subcontracting Costs'!C:C,B52,'5. Subcontracting Costs'!H:H)</f>
        <v>0</v>
      </c>
      <c r="K52" s="16">
        <f>SUMIF(' 2-3-6. Travel&amp;Costs of Stay'!C:C,B52,' 2-3-6. Travel&amp;Costs of Stay'!N:N)</f>
        <v>0</v>
      </c>
      <c r="L52" s="17">
        <f t="shared" si="1"/>
        <v>0</v>
      </c>
    </row>
    <row r="53" spans="2:12" x14ac:dyDescent="0.35">
      <c r="B53" s="44" t="s">
        <v>75</v>
      </c>
      <c r="C53" s="18"/>
      <c r="D53" s="14"/>
      <c r="E53" s="15" t="str">
        <f t="shared" si="0"/>
        <v/>
      </c>
      <c r="F53" s="16">
        <f>SUMIF('1. Staff costs'!C:C,B53,'1. Staff costs'!S:S)</f>
        <v>0</v>
      </c>
      <c r="G53" s="16">
        <f>SUMIF(' 2-3-6. Travel&amp;Costs of Stay'!C:C,B53,' 2-3-6. Travel&amp;Costs of Stay'!O:O)</f>
        <v>0</v>
      </c>
      <c r="H53" s="16">
        <f>SUMIF(' 2-3-6. Travel&amp;Costs of Stay'!C:C,B53,' 2-3-6. Travel&amp;Costs of Stay'!P:P)</f>
        <v>0</v>
      </c>
      <c r="I53" s="16">
        <f>SUMIF('4. Equipment Costs'!C:C,B53,'4. Equipment Costs'!H:H)</f>
        <v>0</v>
      </c>
      <c r="J53" s="16">
        <f>SUMIF('5. Subcontracting Costs'!C:C,B53,'5. Subcontracting Costs'!H:H)</f>
        <v>0</v>
      </c>
      <c r="K53" s="16">
        <f>SUMIF(' 2-3-6. Travel&amp;Costs of Stay'!C:C,B53,' 2-3-6. Travel&amp;Costs of Stay'!N:N)</f>
        <v>0</v>
      </c>
      <c r="L53" s="17">
        <f t="shared" si="1"/>
        <v>0</v>
      </c>
    </row>
    <row r="54" spans="2:12" x14ac:dyDescent="0.35">
      <c r="B54" s="44" t="s">
        <v>76</v>
      </c>
      <c r="C54" s="18"/>
      <c r="D54" s="14"/>
      <c r="E54" s="15" t="str">
        <f t="shared" si="0"/>
        <v/>
      </c>
      <c r="F54" s="16">
        <f>SUMIF('1. Staff costs'!C:C,B54,'1. Staff costs'!S:S)</f>
        <v>0</v>
      </c>
      <c r="G54" s="16">
        <f>SUMIF(' 2-3-6. Travel&amp;Costs of Stay'!C:C,B54,' 2-3-6. Travel&amp;Costs of Stay'!O:O)</f>
        <v>0</v>
      </c>
      <c r="H54" s="16">
        <f>SUMIF(' 2-3-6. Travel&amp;Costs of Stay'!C:C,B54,' 2-3-6. Travel&amp;Costs of Stay'!P:P)</f>
        <v>0</v>
      </c>
      <c r="I54" s="16">
        <f>SUMIF('4. Equipment Costs'!C:C,B54,'4. Equipment Costs'!H:H)</f>
        <v>0</v>
      </c>
      <c r="J54" s="16">
        <f>SUMIF('5. Subcontracting Costs'!C:C,B54,'5. Subcontracting Costs'!H:H)</f>
        <v>0</v>
      </c>
      <c r="K54" s="16">
        <f>SUMIF(' 2-3-6. Travel&amp;Costs of Stay'!C:C,B54,' 2-3-6. Travel&amp;Costs of Stay'!N:N)</f>
        <v>0</v>
      </c>
      <c r="L54" s="17">
        <f t="shared" si="1"/>
        <v>0</v>
      </c>
    </row>
    <row r="55" spans="2:12" x14ac:dyDescent="0.35">
      <c r="B55" s="44" t="s">
        <v>77</v>
      </c>
      <c r="C55" s="18"/>
      <c r="D55" s="14"/>
      <c r="E55" s="15" t="str">
        <f t="shared" si="0"/>
        <v/>
      </c>
      <c r="F55" s="16">
        <f>SUMIF('1. Staff costs'!C:C,B55,'1. Staff costs'!S:S)</f>
        <v>0</v>
      </c>
      <c r="G55" s="16">
        <f>SUMIF(' 2-3-6. Travel&amp;Costs of Stay'!C:C,B55,' 2-3-6. Travel&amp;Costs of Stay'!O:O)</f>
        <v>0</v>
      </c>
      <c r="H55" s="16">
        <f>SUMIF(' 2-3-6. Travel&amp;Costs of Stay'!C:C,B55,' 2-3-6. Travel&amp;Costs of Stay'!P:P)</f>
        <v>0</v>
      </c>
      <c r="I55" s="16">
        <f>SUMIF('4. Equipment Costs'!C:C,B55,'4. Equipment Costs'!H:H)</f>
        <v>0</v>
      </c>
      <c r="J55" s="16">
        <f>SUMIF('5. Subcontracting Costs'!C:C,B55,'5. Subcontracting Costs'!H:H)</f>
        <v>0</v>
      </c>
      <c r="K55" s="16">
        <f>SUMIF(' 2-3-6. Travel&amp;Costs of Stay'!C:C,B55,' 2-3-6. Travel&amp;Costs of Stay'!N:N)</f>
        <v>0</v>
      </c>
      <c r="L55" s="17">
        <f t="shared" si="1"/>
        <v>0</v>
      </c>
    </row>
    <row r="56" spans="2:12" x14ac:dyDescent="0.35">
      <c r="B56" s="44" t="s">
        <v>78</v>
      </c>
      <c r="C56" s="18"/>
      <c r="D56" s="14"/>
      <c r="E56" s="15" t="str">
        <f t="shared" si="0"/>
        <v/>
      </c>
      <c r="F56" s="16">
        <f>SUMIF('1. Staff costs'!C:C,B56,'1. Staff costs'!S:S)</f>
        <v>0</v>
      </c>
      <c r="G56" s="16">
        <f>SUMIF(' 2-3-6. Travel&amp;Costs of Stay'!C:C,B56,' 2-3-6. Travel&amp;Costs of Stay'!O:O)</f>
        <v>0</v>
      </c>
      <c r="H56" s="16">
        <f>SUMIF(' 2-3-6. Travel&amp;Costs of Stay'!C:C,B56,' 2-3-6. Travel&amp;Costs of Stay'!P:P)</f>
        <v>0</v>
      </c>
      <c r="I56" s="16">
        <f>SUMIF('4. Equipment Costs'!C:C,B56,'4. Equipment Costs'!H:H)</f>
        <v>0</v>
      </c>
      <c r="J56" s="16">
        <f>SUMIF('5. Subcontracting Costs'!C:C,B56,'5. Subcontracting Costs'!H:H)</f>
        <v>0</v>
      </c>
      <c r="K56" s="16">
        <f>SUMIF(' 2-3-6. Travel&amp;Costs of Stay'!C:C,B56,' 2-3-6. Travel&amp;Costs of Stay'!N:N)</f>
        <v>0</v>
      </c>
      <c r="L56" s="17">
        <f t="shared" si="1"/>
        <v>0</v>
      </c>
    </row>
    <row r="57" spans="2:12" x14ac:dyDescent="0.35">
      <c r="B57" s="44" t="s">
        <v>79</v>
      </c>
      <c r="C57" s="18"/>
      <c r="D57" s="14"/>
      <c r="E57" s="15" t="str">
        <f t="shared" si="0"/>
        <v/>
      </c>
      <c r="F57" s="16">
        <f>SUMIF('1. Staff costs'!C:C,B57,'1. Staff costs'!S:S)</f>
        <v>0</v>
      </c>
      <c r="G57" s="16">
        <f>SUMIF(' 2-3-6. Travel&amp;Costs of Stay'!C:C,B57,' 2-3-6. Travel&amp;Costs of Stay'!O:O)</f>
        <v>0</v>
      </c>
      <c r="H57" s="16">
        <f>SUMIF(' 2-3-6. Travel&amp;Costs of Stay'!C:C,B57,' 2-3-6. Travel&amp;Costs of Stay'!P:P)</f>
        <v>0</v>
      </c>
      <c r="I57" s="16">
        <f>SUMIF('4. Equipment Costs'!C:C,B57,'4. Equipment Costs'!H:H)</f>
        <v>0</v>
      </c>
      <c r="J57" s="16">
        <f>SUMIF('5. Subcontracting Costs'!C:C,B57,'5. Subcontracting Costs'!H:H)</f>
        <v>0</v>
      </c>
      <c r="K57" s="16">
        <f>SUMIF(' 2-3-6. Travel&amp;Costs of Stay'!C:C,B57,' 2-3-6. Travel&amp;Costs of Stay'!N:N)</f>
        <v>0</v>
      </c>
      <c r="L57" s="17">
        <f t="shared" si="1"/>
        <v>0</v>
      </c>
    </row>
    <row r="58" spans="2:12" x14ac:dyDescent="0.35">
      <c r="B58" s="44" t="s">
        <v>80</v>
      </c>
      <c r="C58" s="18"/>
      <c r="D58" s="14"/>
      <c r="E58" s="15" t="str">
        <f t="shared" si="0"/>
        <v/>
      </c>
      <c r="F58" s="16">
        <f>SUMIF('1. Staff costs'!C:C,B58,'1. Staff costs'!S:S)</f>
        <v>0</v>
      </c>
      <c r="G58" s="16">
        <f>SUMIF(' 2-3-6. Travel&amp;Costs of Stay'!C:C,B58,' 2-3-6. Travel&amp;Costs of Stay'!O:O)</f>
        <v>0</v>
      </c>
      <c r="H58" s="16">
        <f>SUMIF(' 2-3-6. Travel&amp;Costs of Stay'!C:C,B58,' 2-3-6. Travel&amp;Costs of Stay'!P:P)</f>
        <v>0</v>
      </c>
      <c r="I58" s="16">
        <f>SUMIF('4. Equipment Costs'!C:C,B58,'4. Equipment Costs'!H:H)</f>
        <v>0</v>
      </c>
      <c r="J58" s="16">
        <f>SUMIF('5. Subcontracting Costs'!C:C,B58,'5. Subcontracting Costs'!H:H)</f>
        <v>0</v>
      </c>
      <c r="K58" s="16">
        <f>SUMIF(' 2-3-6. Travel&amp;Costs of Stay'!C:C,B58,' 2-3-6. Travel&amp;Costs of Stay'!N:N)</f>
        <v>0</v>
      </c>
      <c r="L58" s="17">
        <f t="shared" si="1"/>
        <v>0</v>
      </c>
    </row>
    <row r="59" spans="2:12" x14ac:dyDescent="0.35">
      <c r="B59" s="44" t="s">
        <v>81</v>
      </c>
      <c r="C59" s="18"/>
      <c r="D59" s="14"/>
      <c r="E59" s="15" t="str">
        <f t="shared" si="0"/>
        <v/>
      </c>
      <c r="F59" s="16">
        <f>SUMIF('1. Staff costs'!C:C,B59,'1. Staff costs'!S:S)</f>
        <v>0</v>
      </c>
      <c r="G59" s="16">
        <f>SUMIF(' 2-3-6. Travel&amp;Costs of Stay'!C:C,B59,' 2-3-6. Travel&amp;Costs of Stay'!O:O)</f>
        <v>0</v>
      </c>
      <c r="H59" s="16">
        <f>SUMIF(' 2-3-6. Travel&amp;Costs of Stay'!C:C,B59,' 2-3-6. Travel&amp;Costs of Stay'!P:P)</f>
        <v>0</v>
      </c>
      <c r="I59" s="16">
        <f>SUMIF('4. Equipment Costs'!C:C,B59,'4. Equipment Costs'!H:H)</f>
        <v>0</v>
      </c>
      <c r="J59" s="16">
        <f>SUMIF('5. Subcontracting Costs'!C:C,B59,'5. Subcontracting Costs'!H:H)</f>
        <v>0</v>
      </c>
      <c r="K59" s="16">
        <f>SUMIF(' 2-3-6. Travel&amp;Costs of Stay'!C:C,B59,' 2-3-6. Travel&amp;Costs of Stay'!N:N)</f>
        <v>0</v>
      </c>
      <c r="L59" s="17">
        <f t="shared" si="1"/>
        <v>0</v>
      </c>
    </row>
    <row r="60" spans="2:12" x14ac:dyDescent="0.35">
      <c r="B60" s="44" t="s">
        <v>82</v>
      </c>
      <c r="C60" s="18"/>
      <c r="D60" s="14"/>
      <c r="E60" s="15" t="str">
        <f t="shared" si="0"/>
        <v/>
      </c>
      <c r="F60" s="16">
        <f>SUMIF('1. Staff costs'!C:C,B60,'1. Staff costs'!S:S)</f>
        <v>0</v>
      </c>
      <c r="G60" s="16">
        <f>SUMIF(' 2-3-6. Travel&amp;Costs of Stay'!C:C,B60,' 2-3-6. Travel&amp;Costs of Stay'!O:O)</f>
        <v>0</v>
      </c>
      <c r="H60" s="16">
        <f>SUMIF(' 2-3-6. Travel&amp;Costs of Stay'!C:C,B60,' 2-3-6. Travel&amp;Costs of Stay'!P:P)</f>
        <v>0</v>
      </c>
      <c r="I60" s="16">
        <f>SUMIF('4. Equipment Costs'!C:C,B60,'4. Equipment Costs'!H:H)</f>
        <v>0</v>
      </c>
      <c r="J60" s="16">
        <f>SUMIF('5. Subcontracting Costs'!C:C,B60,'5. Subcontracting Costs'!H:H)</f>
        <v>0</v>
      </c>
      <c r="K60" s="16">
        <f>SUMIF(' 2-3-6. Travel&amp;Costs of Stay'!C:C,B60,' 2-3-6. Travel&amp;Costs of Stay'!N:N)</f>
        <v>0</v>
      </c>
      <c r="L60" s="17">
        <f t="shared" si="1"/>
        <v>0</v>
      </c>
    </row>
    <row r="61" spans="2:12" x14ac:dyDescent="0.35">
      <c r="B61" s="44" t="s">
        <v>83</v>
      </c>
      <c r="C61" s="18"/>
      <c r="D61" s="14"/>
      <c r="E61" s="15" t="str">
        <f t="shared" si="0"/>
        <v/>
      </c>
      <c r="F61" s="16">
        <f>SUMIF('1. Staff costs'!C:C,B61,'1. Staff costs'!S:S)</f>
        <v>0</v>
      </c>
      <c r="G61" s="16">
        <f>SUMIF(' 2-3-6. Travel&amp;Costs of Stay'!C:C,B61,' 2-3-6. Travel&amp;Costs of Stay'!O:O)</f>
        <v>0</v>
      </c>
      <c r="H61" s="16">
        <f>SUMIF(' 2-3-6. Travel&amp;Costs of Stay'!C:C,B61,' 2-3-6. Travel&amp;Costs of Stay'!P:P)</f>
        <v>0</v>
      </c>
      <c r="I61" s="16">
        <f>SUMIF('4. Equipment Costs'!C:C,B61,'4. Equipment Costs'!H:H)</f>
        <v>0</v>
      </c>
      <c r="J61" s="16">
        <f>SUMIF('5. Subcontracting Costs'!C:C,B61,'5. Subcontracting Costs'!H:H)</f>
        <v>0</v>
      </c>
      <c r="K61" s="16">
        <f>SUMIF(' 2-3-6. Travel&amp;Costs of Stay'!C:C,B61,' 2-3-6. Travel&amp;Costs of Stay'!N:N)</f>
        <v>0</v>
      </c>
      <c r="L61" s="17">
        <f t="shared" si="1"/>
        <v>0</v>
      </c>
    </row>
    <row r="62" spans="2:12" x14ac:dyDescent="0.35">
      <c r="B62" s="44" t="s">
        <v>84</v>
      </c>
      <c r="C62" s="18"/>
      <c r="D62" s="14"/>
      <c r="E62" s="15" t="str">
        <f t="shared" si="0"/>
        <v/>
      </c>
      <c r="F62" s="16">
        <f>SUMIF('1. Staff costs'!C:C,B62,'1. Staff costs'!S:S)</f>
        <v>0</v>
      </c>
      <c r="G62" s="16">
        <f>SUMIF(' 2-3-6. Travel&amp;Costs of Stay'!C:C,B62,' 2-3-6. Travel&amp;Costs of Stay'!O:O)</f>
        <v>0</v>
      </c>
      <c r="H62" s="16">
        <f>SUMIF(' 2-3-6. Travel&amp;Costs of Stay'!C:C,B62,' 2-3-6. Travel&amp;Costs of Stay'!P:P)</f>
        <v>0</v>
      </c>
      <c r="I62" s="16">
        <f>SUMIF('4. Equipment Costs'!C:C,B62,'4. Equipment Costs'!H:H)</f>
        <v>0</v>
      </c>
      <c r="J62" s="16">
        <f>SUMIF('5. Subcontracting Costs'!C:C,B62,'5. Subcontracting Costs'!H:H)</f>
        <v>0</v>
      </c>
      <c r="K62" s="16">
        <f>SUMIF(' 2-3-6. Travel&amp;Costs of Stay'!C:C,B62,' 2-3-6. Travel&amp;Costs of Stay'!N:N)</f>
        <v>0</v>
      </c>
      <c r="L62" s="17">
        <f t="shared" si="1"/>
        <v>0</v>
      </c>
    </row>
    <row r="63" spans="2:12" x14ac:dyDescent="0.35">
      <c r="B63" s="44" t="s">
        <v>85</v>
      </c>
      <c r="C63" s="18"/>
      <c r="D63" s="14"/>
      <c r="E63" s="15" t="str">
        <f t="shared" si="0"/>
        <v/>
      </c>
      <c r="F63" s="16">
        <f>SUMIF('1. Staff costs'!C:C,B63,'1. Staff costs'!S:S)</f>
        <v>0</v>
      </c>
      <c r="G63" s="16">
        <f>SUMIF(' 2-3-6. Travel&amp;Costs of Stay'!C:C,B63,' 2-3-6. Travel&amp;Costs of Stay'!O:O)</f>
        <v>0</v>
      </c>
      <c r="H63" s="16">
        <f>SUMIF(' 2-3-6. Travel&amp;Costs of Stay'!C:C,B63,' 2-3-6. Travel&amp;Costs of Stay'!P:P)</f>
        <v>0</v>
      </c>
      <c r="I63" s="16">
        <f>SUMIF('4. Equipment Costs'!C:C,B63,'4. Equipment Costs'!H:H)</f>
        <v>0</v>
      </c>
      <c r="J63" s="16">
        <f>SUMIF('5. Subcontracting Costs'!C:C,B63,'5. Subcontracting Costs'!H:H)</f>
        <v>0</v>
      </c>
      <c r="K63" s="16">
        <f>SUMIF(' 2-3-6. Travel&amp;Costs of Stay'!C:C,B63,' 2-3-6. Travel&amp;Costs of Stay'!N:N)</f>
        <v>0</v>
      </c>
      <c r="L63" s="17">
        <f t="shared" si="1"/>
        <v>0</v>
      </c>
    </row>
    <row r="64" spans="2:12" x14ac:dyDescent="0.35">
      <c r="B64" s="44" t="s">
        <v>86</v>
      </c>
      <c r="C64" s="18"/>
      <c r="D64" s="14"/>
      <c r="E64" s="15" t="str">
        <f t="shared" si="0"/>
        <v/>
      </c>
      <c r="F64" s="16">
        <f>SUMIF('1. Staff costs'!C:C,B64,'1. Staff costs'!S:S)</f>
        <v>0</v>
      </c>
      <c r="G64" s="16">
        <f>SUMIF(' 2-3-6. Travel&amp;Costs of Stay'!C:C,B64,' 2-3-6. Travel&amp;Costs of Stay'!O:O)</f>
        <v>0</v>
      </c>
      <c r="H64" s="16">
        <f>SUMIF(' 2-3-6. Travel&amp;Costs of Stay'!C:C,B64,' 2-3-6. Travel&amp;Costs of Stay'!P:P)</f>
        <v>0</v>
      </c>
      <c r="I64" s="16">
        <f>SUMIF('4. Equipment Costs'!C:C,B64,'4. Equipment Costs'!H:H)</f>
        <v>0</v>
      </c>
      <c r="J64" s="16">
        <f>SUMIF('5. Subcontracting Costs'!C:C,B64,'5. Subcontracting Costs'!H:H)</f>
        <v>0</v>
      </c>
      <c r="K64" s="16">
        <f>SUMIF(' 2-3-6. Travel&amp;Costs of Stay'!C:C,B64,' 2-3-6. Travel&amp;Costs of Stay'!N:N)</f>
        <v>0</v>
      </c>
      <c r="L64" s="17">
        <f t="shared" si="1"/>
        <v>0</v>
      </c>
    </row>
    <row r="65" spans="2:12" x14ac:dyDescent="0.35">
      <c r="B65" s="44" t="s">
        <v>87</v>
      </c>
      <c r="C65" s="18"/>
      <c r="D65" s="14"/>
      <c r="E65" s="15" t="str">
        <f t="shared" si="0"/>
        <v/>
      </c>
      <c r="F65" s="16">
        <f>SUMIF('1. Staff costs'!C:C,B65,'1. Staff costs'!S:S)</f>
        <v>0</v>
      </c>
      <c r="G65" s="16">
        <f>SUMIF(' 2-3-6. Travel&amp;Costs of Stay'!C:C,B65,' 2-3-6. Travel&amp;Costs of Stay'!O:O)</f>
        <v>0</v>
      </c>
      <c r="H65" s="16">
        <f>SUMIF(' 2-3-6. Travel&amp;Costs of Stay'!C:C,B65,' 2-3-6. Travel&amp;Costs of Stay'!P:P)</f>
        <v>0</v>
      </c>
      <c r="I65" s="16">
        <f>SUMIF('4. Equipment Costs'!C:C,B65,'4. Equipment Costs'!H:H)</f>
        <v>0</v>
      </c>
      <c r="J65" s="16">
        <f>SUMIF('5. Subcontracting Costs'!C:C,B65,'5. Subcontracting Costs'!H:H)</f>
        <v>0</v>
      </c>
      <c r="K65" s="16">
        <f>SUMIF(' 2-3-6. Travel&amp;Costs of Stay'!C:C,B65,' 2-3-6. Travel&amp;Costs of Stay'!N:N)</f>
        <v>0</v>
      </c>
      <c r="L65" s="17">
        <f t="shared" si="1"/>
        <v>0</v>
      </c>
    </row>
    <row r="66" spans="2:12" x14ac:dyDescent="0.35">
      <c r="B66" s="44" t="s">
        <v>88</v>
      </c>
      <c r="C66" s="18"/>
      <c r="D66" s="14"/>
      <c r="E66" s="15" t="str">
        <f t="shared" si="0"/>
        <v/>
      </c>
      <c r="F66" s="16">
        <f>SUMIF('1. Staff costs'!C:C,B66,'1. Staff costs'!S:S)</f>
        <v>0</v>
      </c>
      <c r="G66" s="16">
        <f>SUMIF(' 2-3-6. Travel&amp;Costs of Stay'!C:C,B66,' 2-3-6. Travel&amp;Costs of Stay'!O:O)</f>
        <v>0</v>
      </c>
      <c r="H66" s="16">
        <f>SUMIF(' 2-3-6. Travel&amp;Costs of Stay'!C:C,B66,' 2-3-6. Travel&amp;Costs of Stay'!P:P)</f>
        <v>0</v>
      </c>
      <c r="I66" s="16">
        <f>SUMIF('4. Equipment Costs'!C:C,B66,'4. Equipment Costs'!H:H)</f>
        <v>0</v>
      </c>
      <c r="J66" s="16">
        <f>SUMIF('5. Subcontracting Costs'!C:C,B66,'5. Subcontracting Costs'!H:H)</f>
        <v>0</v>
      </c>
      <c r="K66" s="16">
        <f>SUMIF(' 2-3-6. Travel&amp;Costs of Stay'!C:C,B66,' 2-3-6. Travel&amp;Costs of Stay'!N:N)</f>
        <v>0</v>
      </c>
      <c r="L66" s="17">
        <f t="shared" si="1"/>
        <v>0</v>
      </c>
    </row>
    <row r="67" spans="2:12" x14ac:dyDescent="0.35">
      <c r="B67" s="44" t="s">
        <v>89</v>
      </c>
      <c r="C67" s="18"/>
      <c r="D67" s="14"/>
      <c r="E67" s="15" t="str">
        <f t="shared" si="0"/>
        <v/>
      </c>
      <c r="F67" s="16">
        <f>SUMIF('1. Staff costs'!C:C,B67,'1. Staff costs'!S:S)</f>
        <v>0</v>
      </c>
      <c r="G67" s="16">
        <f>SUMIF(' 2-3-6. Travel&amp;Costs of Stay'!C:C,B67,' 2-3-6. Travel&amp;Costs of Stay'!O:O)</f>
        <v>0</v>
      </c>
      <c r="H67" s="16">
        <f>SUMIF(' 2-3-6. Travel&amp;Costs of Stay'!C:C,B67,' 2-3-6. Travel&amp;Costs of Stay'!P:P)</f>
        <v>0</v>
      </c>
      <c r="I67" s="16">
        <f>SUMIF('4. Equipment Costs'!C:C,B67,'4. Equipment Costs'!H:H)</f>
        <v>0</v>
      </c>
      <c r="J67" s="16">
        <f>SUMIF('5. Subcontracting Costs'!C:C,B67,'5. Subcontracting Costs'!H:H)</f>
        <v>0</v>
      </c>
      <c r="K67" s="16">
        <f>SUMIF(' 2-3-6. Travel&amp;Costs of Stay'!C:C,B67,' 2-3-6. Travel&amp;Costs of Stay'!N:N)</f>
        <v>0</v>
      </c>
      <c r="L67" s="17">
        <f t="shared" si="1"/>
        <v>0</v>
      </c>
    </row>
    <row r="68" spans="2:12" x14ac:dyDescent="0.35">
      <c r="B68" s="44" t="s">
        <v>90</v>
      </c>
      <c r="C68" s="18"/>
      <c r="D68" s="14"/>
      <c r="E68" s="15" t="str">
        <f t="shared" si="0"/>
        <v/>
      </c>
      <c r="F68" s="16">
        <f>SUMIF('1. Staff costs'!C:C,B68,'1. Staff costs'!S:S)</f>
        <v>0</v>
      </c>
      <c r="G68" s="16">
        <f>SUMIF(' 2-3-6. Travel&amp;Costs of Stay'!C:C,B68,' 2-3-6. Travel&amp;Costs of Stay'!O:O)</f>
        <v>0</v>
      </c>
      <c r="H68" s="16">
        <f>SUMIF(' 2-3-6. Travel&amp;Costs of Stay'!C:C,B68,' 2-3-6. Travel&amp;Costs of Stay'!P:P)</f>
        <v>0</v>
      </c>
      <c r="I68" s="16">
        <f>SUMIF('4. Equipment Costs'!C:C,B68,'4. Equipment Costs'!H:H)</f>
        <v>0</v>
      </c>
      <c r="J68" s="16">
        <f>SUMIF('5. Subcontracting Costs'!C:C,B68,'5. Subcontracting Costs'!H:H)</f>
        <v>0</v>
      </c>
      <c r="K68" s="16">
        <f>SUMIF(' 2-3-6. Travel&amp;Costs of Stay'!C:C,B68,' 2-3-6. Travel&amp;Costs of Stay'!N:N)</f>
        <v>0</v>
      </c>
      <c r="L68" s="17">
        <f t="shared" si="1"/>
        <v>0</v>
      </c>
    </row>
    <row r="69" spans="2:12" x14ac:dyDescent="0.35">
      <c r="B69" s="44" t="s">
        <v>91</v>
      </c>
      <c r="C69" s="18"/>
      <c r="D69" s="14"/>
      <c r="E69" s="15" t="str">
        <f t="shared" si="0"/>
        <v/>
      </c>
      <c r="F69" s="16">
        <f>SUMIF('1. Staff costs'!C:C,B69,'1. Staff costs'!S:S)</f>
        <v>0</v>
      </c>
      <c r="G69" s="16">
        <f>SUMIF(' 2-3-6. Travel&amp;Costs of Stay'!C:C,B69,' 2-3-6. Travel&amp;Costs of Stay'!O:O)</f>
        <v>0</v>
      </c>
      <c r="H69" s="16">
        <f>SUMIF(' 2-3-6. Travel&amp;Costs of Stay'!C:C,B69,' 2-3-6. Travel&amp;Costs of Stay'!P:P)</f>
        <v>0</v>
      </c>
      <c r="I69" s="16">
        <f>SUMIF('4. Equipment Costs'!C:C,B69,'4. Equipment Costs'!H:H)</f>
        <v>0</v>
      </c>
      <c r="J69" s="16">
        <f>SUMIF('5. Subcontracting Costs'!C:C,B69,'5. Subcontracting Costs'!H:H)</f>
        <v>0</v>
      </c>
      <c r="K69" s="16">
        <f>SUMIF(' 2-3-6. Travel&amp;Costs of Stay'!C:C,B69,' 2-3-6. Travel&amp;Costs of Stay'!N:N)</f>
        <v>0</v>
      </c>
      <c r="L69" s="17">
        <f t="shared" si="1"/>
        <v>0</v>
      </c>
    </row>
    <row r="70" spans="2:12" x14ac:dyDescent="0.35">
      <c r="B70" s="44" t="s">
        <v>92</v>
      </c>
      <c r="C70" s="18"/>
      <c r="D70" s="14"/>
      <c r="E70" s="15" t="str">
        <f t="shared" si="0"/>
        <v/>
      </c>
      <c r="F70" s="16">
        <f>SUMIF('1. Staff costs'!C:C,B70,'1. Staff costs'!S:S)</f>
        <v>0</v>
      </c>
      <c r="G70" s="16">
        <f>SUMIF(' 2-3-6. Travel&amp;Costs of Stay'!C:C,B70,' 2-3-6. Travel&amp;Costs of Stay'!O:O)</f>
        <v>0</v>
      </c>
      <c r="H70" s="16">
        <f>SUMIF(' 2-3-6. Travel&amp;Costs of Stay'!C:C,B70,' 2-3-6. Travel&amp;Costs of Stay'!P:P)</f>
        <v>0</v>
      </c>
      <c r="I70" s="16">
        <f>SUMIF('4. Equipment Costs'!C:C,B70,'4. Equipment Costs'!H:H)</f>
        <v>0</v>
      </c>
      <c r="J70" s="16">
        <f>SUMIF('5. Subcontracting Costs'!C:C,B70,'5. Subcontracting Costs'!H:H)</f>
        <v>0</v>
      </c>
      <c r="K70" s="16">
        <f>SUMIF(' 2-3-6. Travel&amp;Costs of Stay'!C:C,B70,' 2-3-6. Travel&amp;Costs of Stay'!N:N)</f>
        <v>0</v>
      </c>
      <c r="L70" s="17">
        <f t="shared" si="1"/>
        <v>0</v>
      </c>
    </row>
    <row r="71" spans="2:12" x14ac:dyDescent="0.35">
      <c r="B71" s="44" t="s">
        <v>93</v>
      </c>
      <c r="C71" s="18"/>
      <c r="D71" s="14"/>
      <c r="E71" s="15" t="str">
        <f t="shared" si="0"/>
        <v/>
      </c>
      <c r="F71" s="16">
        <f>SUMIF('1. Staff costs'!C:C,B71,'1. Staff costs'!S:S)</f>
        <v>0</v>
      </c>
      <c r="G71" s="16">
        <f>SUMIF(' 2-3-6. Travel&amp;Costs of Stay'!C:C,B71,' 2-3-6. Travel&amp;Costs of Stay'!O:O)</f>
        <v>0</v>
      </c>
      <c r="H71" s="16">
        <f>SUMIF(' 2-3-6. Travel&amp;Costs of Stay'!C:C,B71,' 2-3-6. Travel&amp;Costs of Stay'!P:P)</f>
        <v>0</v>
      </c>
      <c r="I71" s="16">
        <f>SUMIF('4. Equipment Costs'!C:C,B71,'4. Equipment Costs'!H:H)</f>
        <v>0</v>
      </c>
      <c r="J71" s="16">
        <f>SUMIF('5. Subcontracting Costs'!C:C,B71,'5. Subcontracting Costs'!H:H)</f>
        <v>0</v>
      </c>
      <c r="K71" s="16">
        <f>SUMIF(' 2-3-6. Travel&amp;Costs of Stay'!C:C,B71,' 2-3-6. Travel&amp;Costs of Stay'!N:N)</f>
        <v>0</v>
      </c>
      <c r="L71" s="17">
        <f t="shared" si="1"/>
        <v>0</v>
      </c>
    </row>
    <row r="72" spans="2:12" x14ac:dyDescent="0.35">
      <c r="B72" s="44" t="s">
        <v>94</v>
      </c>
      <c r="C72" s="18"/>
      <c r="D72" s="14"/>
      <c r="E72" s="15" t="str">
        <f t="shared" si="0"/>
        <v/>
      </c>
      <c r="F72" s="16">
        <f>SUMIF('1. Staff costs'!C:C,B72,'1. Staff costs'!S:S)</f>
        <v>0</v>
      </c>
      <c r="G72" s="16">
        <f>SUMIF(' 2-3-6. Travel&amp;Costs of Stay'!C:C,B72,' 2-3-6. Travel&amp;Costs of Stay'!O:O)</f>
        <v>0</v>
      </c>
      <c r="H72" s="16">
        <f>SUMIF(' 2-3-6. Travel&amp;Costs of Stay'!C:C,B72,' 2-3-6. Travel&amp;Costs of Stay'!P:P)</f>
        <v>0</v>
      </c>
      <c r="I72" s="16">
        <f>SUMIF('4. Equipment Costs'!C:C,B72,'4. Equipment Costs'!H:H)</f>
        <v>0</v>
      </c>
      <c r="J72" s="16">
        <f>SUMIF('5. Subcontracting Costs'!C:C,B72,'5. Subcontracting Costs'!H:H)</f>
        <v>0</v>
      </c>
      <c r="K72" s="16">
        <f>SUMIF(' 2-3-6. Travel&amp;Costs of Stay'!C:C,B72,' 2-3-6. Travel&amp;Costs of Stay'!N:N)</f>
        <v>0</v>
      </c>
      <c r="L72" s="17">
        <f t="shared" si="1"/>
        <v>0</v>
      </c>
    </row>
    <row r="73" spans="2:12" x14ac:dyDescent="0.35">
      <c r="B73" s="44" t="s">
        <v>95</v>
      </c>
      <c r="C73" s="18"/>
      <c r="D73" s="14"/>
      <c r="E73" s="15" t="str">
        <f t="shared" si="0"/>
        <v/>
      </c>
      <c r="F73" s="16">
        <f>SUMIF('1. Staff costs'!C:C,B73,'1. Staff costs'!S:S)</f>
        <v>0</v>
      </c>
      <c r="G73" s="16">
        <f>SUMIF(' 2-3-6. Travel&amp;Costs of Stay'!C:C,B73,' 2-3-6. Travel&amp;Costs of Stay'!O:O)</f>
        <v>0</v>
      </c>
      <c r="H73" s="16">
        <f>SUMIF(' 2-3-6. Travel&amp;Costs of Stay'!C:C,B73,' 2-3-6. Travel&amp;Costs of Stay'!P:P)</f>
        <v>0</v>
      </c>
      <c r="I73" s="16">
        <f>SUMIF('4. Equipment Costs'!C:C,B73,'4. Equipment Costs'!H:H)</f>
        <v>0</v>
      </c>
      <c r="J73" s="16">
        <f>SUMIF('5. Subcontracting Costs'!C:C,B73,'5. Subcontracting Costs'!H:H)</f>
        <v>0</v>
      </c>
      <c r="K73" s="16">
        <f>SUMIF(' 2-3-6. Travel&amp;Costs of Stay'!C:C,B73,' 2-3-6. Travel&amp;Costs of Stay'!N:N)</f>
        <v>0</v>
      </c>
      <c r="L73" s="17">
        <f t="shared" si="1"/>
        <v>0</v>
      </c>
    </row>
    <row r="74" spans="2:12" x14ac:dyDescent="0.35">
      <c r="B74" s="44" t="s">
        <v>96</v>
      </c>
      <c r="C74" s="18"/>
      <c r="D74" s="14"/>
      <c r="E74" s="15" t="str">
        <f t="shared" si="0"/>
        <v/>
      </c>
      <c r="F74" s="16">
        <f>SUMIF('1. Staff costs'!C:C,B74,'1. Staff costs'!S:S)</f>
        <v>0</v>
      </c>
      <c r="G74" s="16">
        <f>SUMIF(' 2-3-6. Travel&amp;Costs of Stay'!C:C,B74,' 2-3-6. Travel&amp;Costs of Stay'!O:O)</f>
        <v>0</v>
      </c>
      <c r="H74" s="16">
        <f>SUMIF(' 2-3-6. Travel&amp;Costs of Stay'!C:C,B74,' 2-3-6. Travel&amp;Costs of Stay'!P:P)</f>
        <v>0</v>
      </c>
      <c r="I74" s="16">
        <f>SUMIF('4. Equipment Costs'!C:C,B74,'4. Equipment Costs'!H:H)</f>
        <v>0</v>
      </c>
      <c r="J74" s="16">
        <f>SUMIF('5. Subcontracting Costs'!C:C,B74,'5. Subcontracting Costs'!H:H)</f>
        <v>0</v>
      </c>
      <c r="K74" s="16">
        <f>SUMIF(' 2-3-6. Travel&amp;Costs of Stay'!C:C,B74,' 2-3-6. Travel&amp;Costs of Stay'!N:N)</f>
        <v>0</v>
      </c>
      <c r="L74" s="17">
        <f t="shared" si="1"/>
        <v>0</v>
      </c>
    </row>
    <row r="75" spans="2:12" x14ac:dyDescent="0.35">
      <c r="B75" s="44" t="s">
        <v>97</v>
      </c>
      <c r="C75" s="18"/>
      <c r="D75" s="14"/>
      <c r="E75" s="15" t="str">
        <f t="shared" si="0"/>
        <v/>
      </c>
      <c r="F75" s="16">
        <f>SUMIF('1. Staff costs'!C:C,B75,'1. Staff costs'!S:S)</f>
        <v>0</v>
      </c>
      <c r="G75" s="16">
        <f>SUMIF(' 2-3-6. Travel&amp;Costs of Stay'!C:C,B75,' 2-3-6. Travel&amp;Costs of Stay'!O:O)</f>
        <v>0</v>
      </c>
      <c r="H75" s="16">
        <f>SUMIF(' 2-3-6. Travel&amp;Costs of Stay'!C:C,B75,' 2-3-6. Travel&amp;Costs of Stay'!P:P)</f>
        <v>0</v>
      </c>
      <c r="I75" s="16">
        <f>SUMIF('4. Equipment Costs'!C:C,B75,'4. Equipment Costs'!H:H)</f>
        <v>0</v>
      </c>
      <c r="J75" s="16">
        <f>SUMIF('5. Subcontracting Costs'!C:C,B75,'5. Subcontracting Costs'!H:H)</f>
        <v>0</v>
      </c>
      <c r="K75" s="16">
        <f>SUMIF(' 2-3-6. Travel&amp;Costs of Stay'!C:C,B75,' 2-3-6. Travel&amp;Costs of Stay'!N:N)</f>
        <v>0</v>
      </c>
      <c r="L75" s="17">
        <f t="shared" si="1"/>
        <v>0</v>
      </c>
    </row>
    <row r="76" spans="2:12" x14ac:dyDescent="0.35">
      <c r="B76" s="44" t="s">
        <v>98</v>
      </c>
      <c r="C76" s="18"/>
      <c r="D76" s="14"/>
      <c r="E76" s="15" t="str">
        <f t="shared" si="0"/>
        <v/>
      </c>
      <c r="F76" s="16">
        <f>SUMIF('1. Staff costs'!C:C,B76,'1. Staff costs'!S:S)</f>
        <v>0</v>
      </c>
      <c r="G76" s="16">
        <f>SUMIF(' 2-3-6. Travel&amp;Costs of Stay'!C:C,B76,' 2-3-6. Travel&amp;Costs of Stay'!O:O)</f>
        <v>0</v>
      </c>
      <c r="H76" s="16">
        <f>SUMIF(' 2-3-6. Travel&amp;Costs of Stay'!C:C,B76,' 2-3-6. Travel&amp;Costs of Stay'!P:P)</f>
        <v>0</v>
      </c>
      <c r="I76" s="16">
        <f>SUMIF('4. Equipment Costs'!C:C,B76,'4. Equipment Costs'!H:H)</f>
        <v>0</v>
      </c>
      <c r="J76" s="16">
        <f>SUMIF('5. Subcontracting Costs'!C:C,B76,'5. Subcontracting Costs'!H:H)</f>
        <v>0</v>
      </c>
      <c r="K76" s="16">
        <f>SUMIF(' 2-3-6. Travel&amp;Costs of Stay'!C:C,B76,' 2-3-6. Travel&amp;Costs of Stay'!N:N)</f>
        <v>0</v>
      </c>
      <c r="L76" s="17">
        <f t="shared" si="1"/>
        <v>0</v>
      </c>
    </row>
    <row r="77" spans="2:12" x14ac:dyDescent="0.35">
      <c r="B77" s="44" t="s">
        <v>99</v>
      </c>
      <c r="C77" s="18"/>
      <c r="D77" s="14"/>
      <c r="E77" s="15" t="str">
        <f t="shared" si="0"/>
        <v/>
      </c>
      <c r="F77" s="16">
        <f>SUMIF('1. Staff costs'!C:C,B77,'1. Staff costs'!S:S)</f>
        <v>0</v>
      </c>
      <c r="G77" s="16">
        <f>SUMIF(' 2-3-6. Travel&amp;Costs of Stay'!C:C,B77,' 2-3-6. Travel&amp;Costs of Stay'!O:O)</f>
        <v>0</v>
      </c>
      <c r="H77" s="16">
        <f>SUMIF(' 2-3-6. Travel&amp;Costs of Stay'!C:C,B77,' 2-3-6. Travel&amp;Costs of Stay'!P:P)</f>
        <v>0</v>
      </c>
      <c r="I77" s="16">
        <f>SUMIF('4. Equipment Costs'!C:C,B77,'4. Equipment Costs'!H:H)</f>
        <v>0</v>
      </c>
      <c r="J77" s="16">
        <f>SUMIF('5. Subcontracting Costs'!C:C,B77,'5. Subcontracting Costs'!H:H)</f>
        <v>0</v>
      </c>
      <c r="K77" s="16">
        <f>SUMIF(' 2-3-6. Travel&amp;Costs of Stay'!C:C,B77,' 2-3-6. Travel&amp;Costs of Stay'!N:N)</f>
        <v>0</v>
      </c>
      <c r="L77" s="17">
        <f t="shared" si="1"/>
        <v>0</v>
      </c>
    </row>
    <row r="78" spans="2:12" x14ac:dyDescent="0.35">
      <c r="B78" s="44" t="s">
        <v>100</v>
      </c>
      <c r="C78" s="18"/>
      <c r="D78" s="14"/>
      <c r="E78" s="15" t="str">
        <f t="shared" si="0"/>
        <v/>
      </c>
      <c r="F78" s="16">
        <f>SUMIF('1. Staff costs'!C:C,B78,'1. Staff costs'!S:S)</f>
        <v>0</v>
      </c>
      <c r="G78" s="16">
        <f>SUMIF(' 2-3-6. Travel&amp;Costs of Stay'!C:C,B78,' 2-3-6. Travel&amp;Costs of Stay'!O:O)</f>
        <v>0</v>
      </c>
      <c r="H78" s="16">
        <f>SUMIF(' 2-3-6. Travel&amp;Costs of Stay'!C:C,B78,' 2-3-6. Travel&amp;Costs of Stay'!P:P)</f>
        <v>0</v>
      </c>
      <c r="I78" s="16">
        <f>SUMIF('4. Equipment Costs'!C:C,B78,'4. Equipment Costs'!H:H)</f>
        <v>0</v>
      </c>
      <c r="J78" s="16">
        <f>SUMIF('5. Subcontracting Costs'!C:C,B78,'5. Subcontracting Costs'!H:H)</f>
        <v>0</v>
      </c>
      <c r="K78" s="16">
        <f>SUMIF(' 2-3-6. Travel&amp;Costs of Stay'!C:C,B78,' 2-3-6. Travel&amp;Costs of Stay'!N:N)</f>
        <v>0</v>
      </c>
      <c r="L78" s="17">
        <f t="shared" si="1"/>
        <v>0</v>
      </c>
    </row>
    <row r="79" spans="2:12" x14ac:dyDescent="0.35">
      <c r="B79" s="44" t="s">
        <v>101</v>
      </c>
      <c r="C79" s="18"/>
      <c r="D79" s="14"/>
      <c r="E79" s="15" t="str">
        <f t="shared" si="0"/>
        <v/>
      </c>
      <c r="F79" s="16">
        <f>SUMIF('1. Staff costs'!C:C,B79,'1. Staff costs'!S:S)</f>
        <v>0</v>
      </c>
      <c r="G79" s="16">
        <f>SUMIF(' 2-3-6. Travel&amp;Costs of Stay'!C:C,B79,' 2-3-6. Travel&amp;Costs of Stay'!O:O)</f>
        <v>0</v>
      </c>
      <c r="H79" s="16">
        <f>SUMIF(' 2-3-6. Travel&amp;Costs of Stay'!C:C,B79,' 2-3-6. Travel&amp;Costs of Stay'!P:P)</f>
        <v>0</v>
      </c>
      <c r="I79" s="16">
        <f>SUMIF('4. Equipment Costs'!C:C,B79,'4. Equipment Costs'!H:H)</f>
        <v>0</v>
      </c>
      <c r="J79" s="16">
        <f>SUMIF('5. Subcontracting Costs'!C:C,B79,'5. Subcontracting Costs'!H:H)</f>
        <v>0</v>
      </c>
      <c r="K79" s="16">
        <f>SUMIF(' 2-3-6. Travel&amp;Costs of Stay'!C:C,B79,' 2-3-6. Travel&amp;Costs of Stay'!N:N)</f>
        <v>0</v>
      </c>
      <c r="L79" s="17">
        <f t="shared" si="1"/>
        <v>0</v>
      </c>
    </row>
    <row r="80" spans="2:12" x14ac:dyDescent="0.35">
      <c r="B80" s="44" t="s">
        <v>102</v>
      </c>
      <c r="C80" s="18"/>
      <c r="D80" s="14"/>
      <c r="E80" s="15" t="str">
        <f t="shared" si="0"/>
        <v/>
      </c>
      <c r="F80" s="16">
        <f>SUMIF('1. Staff costs'!C:C,B80,'1. Staff costs'!S:S)</f>
        <v>0</v>
      </c>
      <c r="G80" s="16">
        <f>SUMIF(' 2-3-6. Travel&amp;Costs of Stay'!C:C,B80,' 2-3-6. Travel&amp;Costs of Stay'!O:O)</f>
        <v>0</v>
      </c>
      <c r="H80" s="16">
        <f>SUMIF(' 2-3-6. Travel&amp;Costs of Stay'!C:C,B80,' 2-3-6. Travel&amp;Costs of Stay'!P:P)</f>
        <v>0</v>
      </c>
      <c r="I80" s="16">
        <f>SUMIF('4. Equipment Costs'!C:C,B80,'4. Equipment Costs'!H:H)</f>
        <v>0</v>
      </c>
      <c r="J80" s="16">
        <f>SUMIF('5. Subcontracting Costs'!C:C,B80,'5. Subcontracting Costs'!H:H)</f>
        <v>0</v>
      </c>
      <c r="K80" s="16">
        <f>SUMIF(' 2-3-6. Travel&amp;Costs of Stay'!C:C,B80,' 2-3-6. Travel&amp;Costs of Stay'!N:N)</f>
        <v>0</v>
      </c>
      <c r="L80" s="17">
        <f t="shared" si="1"/>
        <v>0</v>
      </c>
    </row>
    <row r="81" spans="2:12" x14ac:dyDescent="0.35">
      <c r="B81" s="44" t="s">
        <v>103</v>
      </c>
      <c r="C81" s="18"/>
      <c r="D81" s="14"/>
      <c r="E81" s="15" t="str">
        <f t="shared" si="0"/>
        <v/>
      </c>
      <c r="F81" s="16">
        <f>SUMIF('1. Staff costs'!C:C,B81,'1. Staff costs'!S:S)</f>
        <v>0</v>
      </c>
      <c r="G81" s="16">
        <f>SUMIF(' 2-3-6. Travel&amp;Costs of Stay'!C:C,B81,' 2-3-6. Travel&amp;Costs of Stay'!O:O)</f>
        <v>0</v>
      </c>
      <c r="H81" s="16">
        <f>SUMIF(' 2-3-6. Travel&amp;Costs of Stay'!C:C,B81,' 2-3-6. Travel&amp;Costs of Stay'!P:P)</f>
        <v>0</v>
      </c>
      <c r="I81" s="16">
        <f>SUMIF('4. Equipment Costs'!C:C,B81,'4. Equipment Costs'!H:H)</f>
        <v>0</v>
      </c>
      <c r="J81" s="16">
        <f>SUMIF('5. Subcontracting Costs'!C:C,B81,'5. Subcontracting Costs'!H:H)</f>
        <v>0</v>
      </c>
      <c r="K81" s="16">
        <f>SUMIF(' 2-3-6. Travel&amp;Costs of Stay'!C:C,B81,' 2-3-6. Travel&amp;Costs of Stay'!N:N)</f>
        <v>0</v>
      </c>
      <c r="L81" s="17">
        <f t="shared" si="1"/>
        <v>0</v>
      </c>
    </row>
  </sheetData>
  <sheetProtection sheet="1" selectLockedCells="1"/>
  <mergeCells count="34">
    <mergeCell ref="I18:L18"/>
    <mergeCell ref="E22:H22"/>
    <mergeCell ref="I17:L17"/>
    <mergeCell ref="E17:H17"/>
    <mergeCell ref="B25:L25"/>
    <mergeCell ref="B18:C18"/>
    <mergeCell ref="B19:C19"/>
    <mergeCell ref="B20:C20"/>
    <mergeCell ref="B21:C21"/>
    <mergeCell ref="B23:C23"/>
    <mergeCell ref="E21:H21"/>
    <mergeCell ref="I21:L21"/>
    <mergeCell ref="E23:H23"/>
    <mergeCell ref="I23:L23"/>
    <mergeCell ref="E18:H18"/>
    <mergeCell ref="E19:H19"/>
    <mergeCell ref="E20:H20"/>
    <mergeCell ref="B22:C22"/>
    <mergeCell ref="I22:L22"/>
    <mergeCell ref="I20:L20"/>
    <mergeCell ref="I19:L19"/>
    <mergeCell ref="B7:L7"/>
    <mergeCell ref="B8:L8"/>
    <mergeCell ref="B9:L9"/>
    <mergeCell ref="B11:C11"/>
    <mergeCell ref="B12:C12"/>
    <mergeCell ref="E11:L11"/>
    <mergeCell ref="B13:C13"/>
    <mergeCell ref="B16:L16"/>
    <mergeCell ref="B17:C17"/>
    <mergeCell ref="E13:L13"/>
    <mergeCell ref="E12:L12"/>
    <mergeCell ref="B14:C14"/>
    <mergeCell ref="D14:L14"/>
  </mergeCells>
  <conditionalFormatting sqref="D17">
    <cfRule type="expression" dxfId="631" priority="18">
      <formula>D17&gt;ROUND(D23*0.4,2)</formula>
    </cfRule>
  </conditionalFormatting>
  <conditionalFormatting sqref="D20">
    <cfRule type="expression" dxfId="630" priority="16">
      <formula>D20&gt;ROUND(D23*0.3,2)</formula>
    </cfRule>
  </conditionalFormatting>
  <conditionalFormatting sqref="D21">
    <cfRule type="expression" dxfId="629" priority="14">
      <formula>D21&gt;ROUND(D23*0.1,2)</formula>
    </cfRule>
  </conditionalFormatting>
  <conditionalFormatting sqref="D23">
    <cfRule type="cellIs" dxfId="628" priority="12" operator="notBetween">
      <formula>500000</formula>
      <formula>1000000</formula>
    </cfRule>
  </conditionalFormatting>
  <conditionalFormatting sqref="E18 I18">
    <cfRule type="cellIs" dxfId="627" priority="2" operator="equal">
      <formula>"Exceptional travel costs exceed 80% of total travel costs"</formula>
    </cfRule>
  </conditionalFormatting>
  <conditionalFormatting sqref="I19">
    <cfRule type="cellIs" dxfId="626" priority="1" operator="equal">
      <formula>"Exceptional travel costs exceed 80% of total travel costs"</formula>
    </cfRule>
  </conditionalFormatting>
  <dataValidations xWindow="516" yWindow="728" count="6">
    <dataValidation type="list" allowBlank="1" showInputMessage="1" showErrorMessage="1" error="Click arrow to select Action Type" prompt="Click arrow to select Action Type" sqref="D11">
      <formula1>"Joint Project, Structural Project"</formula1>
    </dataValidation>
    <dataValidation type="list" allowBlank="1" showInputMessage="1" showErrorMessage="1" error="Click arrow to select Duration" prompt="Click arrow to select Duration" sqref="D12">
      <formula1>"24,36"</formula1>
    </dataValidation>
    <dataValidation type="textLength" allowBlank="1" showInputMessage="1" showErrorMessage="1" error="Max 25 characters" prompt="Max 25 characters" sqref="D13">
      <formula1>0</formula1>
      <formula2>25</formula2>
    </dataValidation>
    <dataValidation type="textLength" allowBlank="1" showInputMessage="1" showErrorMessage="1" error="Max 60 characters" prompt="Max 60 characters" sqref="C27:C81">
      <formula1>0</formula1>
      <formula2>60</formula2>
    </dataValidation>
    <dataValidation type="list" allowBlank="1" showInputMessage="1" showErrorMessage="1" error="Click arrow to select Country " prompt="Click arrow to select Country " sqref="D27:D81">
      <formula1>CountryALL</formula1>
    </dataValidation>
    <dataValidation type="textLength" allowBlank="1" showInputMessage="1" showErrorMessage="1" error="Max 130 characters" prompt="Max 130 characters" sqref="D14:L14">
      <formula1>0</formula1>
      <formula2>130</formula2>
    </dataValidation>
  </dataValidations>
  <hyperlinks>
    <hyperlink ref="B7:L7" r:id="rId1" display="Before completing this table please read carefully the instructions available on the EACEA website"/>
  </hyperlinks>
  <printOptions horizontalCentered="1"/>
  <pageMargins left="0.39370078740157483" right="0.39370078740157483" top="0.74803149606299213" bottom="0.74803149606299213" header="0.31496062992125984" footer="0.31496062992125984"/>
  <pageSetup paperSize="9" scale="36" orientation="portrait" r:id="rId2"/>
  <headerFooter>
    <oddFooter>&amp;CPage &amp;P of 3</oddFooter>
  </headerFooter>
  <drawing r:id="rId3"/>
  <extLst>
    <ext xmlns:x14="http://schemas.microsoft.com/office/spreadsheetml/2009/9/main" uri="{78C0D931-6437-407d-A8EE-F0AAD7539E65}">
      <x14:conditionalFormattings>
        <x14:conditionalFormatting xmlns:xm="http://schemas.microsoft.com/office/excel/2006/main">
          <x14:cfRule type="containsText" priority="27" operator="containsText" id="{E65218D7-2FC9-4B62-9B72-6C3DD4C05A77}">
            <xm:f>NOT(ISERROR(SEARCH("Country not found",E27)))</xm:f>
            <xm:f>"Country not found"</xm:f>
            <x14:dxf>
              <font>
                <b/>
                <i val="0"/>
                <color theme="1"/>
              </font>
              <fill>
                <patternFill>
                  <bgColor rgb="FFFF0000"/>
                </patternFill>
              </fill>
            </x14:dxf>
          </x14:cfRule>
          <xm:sqref>E27:E81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6" tint="0.79998168889431442"/>
  </sheetPr>
  <dimension ref="A1:B7"/>
  <sheetViews>
    <sheetView workbookViewId="0"/>
  </sheetViews>
  <sheetFormatPr defaultColWidth="9.109375" defaultRowHeight="14.4" x14ac:dyDescent="0.3"/>
  <cols>
    <col min="1" max="1" width="30.33203125" style="85" customWidth="1"/>
    <col min="2" max="2" width="77.109375" style="85" bestFit="1" customWidth="1"/>
    <col min="3" max="3" width="10.44140625" style="85" customWidth="1"/>
    <col min="4" max="16384" width="9.109375" style="85"/>
  </cols>
  <sheetData>
    <row r="1" spans="1:2" ht="15.6" x14ac:dyDescent="0.3">
      <c r="A1" s="80" t="s">
        <v>104</v>
      </c>
      <c r="B1" s="81"/>
    </row>
    <row r="2" spans="1:2" x14ac:dyDescent="0.3">
      <c r="A2" s="82" t="s">
        <v>10</v>
      </c>
      <c r="B2" s="82" t="str">
        <f>IF(COUNTIF('1. Staff costs'!T:T,"Error")&lt;=1,"OK","Please check data in Tab '"&amp;A2&amp;"'")</f>
        <v>OK</v>
      </c>
    </row>
    <row r="3" spans="1:2" x14ac:dyDescent="0.3">
      <c r="A3" s="83" t="s">
        <v>105</v>
      </c>
      <c r="B3" s="83" t="str">
        <f>IF(COUNTIF(' 2-3-6. Travel&amp;Costs of Stay'!R:R,"Error")&lt;=1,"OK","Please check data in Tab '"&amp;A3&amp;"'")</f>
        <v>OK</v>
      </c>
    </row>
    <row r="4" spans="1:2" x14ac:dyDescent="0.3">
      <c r="A4" s="83" t="s">
        <v>13</v>
      </c>
      <c r="B4" s="83" t="str">
        <f>IF(COUNTIF('4. Equipment Costs'!I:T,"Error")&lt;=1,"OK","Please check data in Tab '"&amp;A4&amp;"'")</f>
        <v>OK</v>
      </c>
    </row>
    <row r="5" spans="1:2" x14ac:dyDescent="0.3">
      <c r="A5" s="83" t="s">
        <v>14</v>
      </c>
      <c r="B5" s="83" t="str">
        <f>IF(COUNTIF('5. Subcontracting Costs'!I:I,"Error")&lt;=1,"OK","Please check data in Tab '"&amp;A5&amp;"'")</f>
        <v>OK</v>
      </c>
    </row>
    <row r="6" spans="1:2" x14ac:dyDescent="0.3">
      <c r="A6" s="83" t="s">
        <v>106</v>
      </c>
      <c r="B6" s="83" t="str">
        <f>IF(COUNTIF('Co-financing'!J:J,"Error")&lt;=1,"OK","Please check data in Tab '"&amp;A6&amp;"'")</f>
        <v>OK</v>
      </c>
    </row>
    <row r="7" spans="1:2" x14ac:dyDescent="0.3">
      <c r="A7" s="84" t="s">
        <v>107</v>
      </c>
      <c r="B7" s="84" t="str">
        <f>IF(' 2-3-6. Travel&amp;Costs of Stay'!K4="","OK","Please check Exceptional Travel Costs (EUR) in Tab '"&amp;A3&amp;"'")</f>
        <v>OK</v>
      </c>
    </row>
  </sheetData>
  <conditionalFormatting sqref="B2:B7">
    <cfRule type="cellIs" dxfId="624" priority="5" operator="notEqual">
      <formula>"OK"</formula>
    </cfRule>
    <cfRule type="cellIs" dxfId="623" priority="6" operator="equal">
      <formula>"OK"</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3" tint="0.39997558519241921"/>
    <pageSetUpPr fitToPage="1"/>
  </sheetPr>
  <dimension ref="B1:T65"/>
  <sheetViews>
    <sheetView showGridLines="0" tabSelected="1" topLeftCell="J1" zoomScale="59" zoomScaleNormal="59" zoomScaleSheetLayoutView="55" workbookViewId="0">
      <pane ySplit="13" topLeftCell="A41" activePane="bottomLeft" state="frozen"/>
      <selection pane="bottomLeft" activeCell="O50" sqref="O50"/>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2" customWidth="1"/>
    <col min="6" max="6" width="20.6640625" style="2" customWidth="1"/>
    <col min="7" max="19" width="20.6640625" style="1" customWidth="1"/>
    <col min="20" max="20" width="11.6640625" style="1" bestFit="1" customWidth="1"/>
    <col min="21" max="21" width="1.6640625" style="1" customWidth="1"/>
    <col min="22" max="16384" width="9.109375" style="1"/>
  </cols>
  <sheetData>
    <row r="1" spans="2:20" ht="8.1" customHeight="1" x14ac:dyDescent="0.35"/>
    <row r="2" spans="2:20" s="20" customFormat="1" ht="39.9" customHeight="1" x14ac:dyDescent="0.35">
      <c r="B2" s="172" t="s">
        <v>10</v>
      </c>
      <c r="C2" s="172"/>
      <c r="D2" s="172"/>
      <c r="E2" s="172"/>
      <c r="F2" s="172"/>
      <c r="G2" s="172"/>
      <c r="H2" s="172"/>
      <c r="I2" s="172"/>
      <c r="J2" s="172"/>
      <c r="K2" s="172"/>
      <c r="L2" s="172"/>
      <c r="M2" s="172"/>
      <c r="N2" s="172"/>
      <c r="O2" s="172"/>
      <c r="P2" s="172"/>
      <c r="Q2" s="172"/>
      <c r="R2" s="172"/>
      <c r="S2" s="172"/>
      <c r="T2" s="172"/>
    </row>
    <row r="3" spans="2:20" s="20" customFormat="1" ht="8.1" customHeight="1" x14ac:dyDescent="0.35">
      <c r="B3" s="169"/>
      <c r="C3" s="170"/>
      <c r="D3" s="170"/>
      <c r="E3" s="170"/>
      <c r="F3" s="170"/>
      <c r="G3" s="170"/>
      <c r="H3" s="170"/>
      <c r="I3" s="170"/>
      <c r="J3" s="170"/>
      <c r="K3" s="170"/>
      <c r="L3" s="170"/>
      <c r="M3" s="170"/>
      <c r="N3" s="170"/>
      <c r="O3" s="170"/>
      <c r="P3" s="170"/>
      <c r="Q3" s="170"/>
      <c r="R3" s="170"/>
      <c r="S3" s="170"/>
      <c r="T3" s="171"/>
    </row>
    <row r="4" spans="2:20" s="20" customFormat="1" ht="20.100000000000001" customHeight="1" x14ac:dyDescent="0.35">
      <c r="B4" s="166"/>
      <c r="C4" s="168"/>
      <c r="D4" s="40" t="s">
        <v>108</v>
      </c>
      <c r="E4" s="40" t="s">
        <v>109</v>
      </c>
      <c r="F4" s="163"/>
      <c r="G4" s="164"/>
      <c r="H4" s="164"/>
      <c r="I4" s="164"/>
      <c r="J4" s="164"/>
      <c r="K4" s="164"/>
      <c r="L4" s="164"/>
      <c r="M4" s="164"/>
      <c r="N4" s="164"/>
      <c r="O4" s="164"/>
      <c r="P4" s="164"/>
      <c r="Q4" s="164"/>
      <c r="R4" s="164"/>
      <c r="S4" s="164"/>
      <c r="T4" s="165"/>
    </row>
    <row r="5" spans="2:20" s="20" customFormat="1" ht="20.100000000000001" customHeight="1" x14ac:dyDescent="0.35">
      <c r="B5" s="177" t="s">
        <v>110</v>
      </c>
      <c r="C5" s="178"/>
      <c r="D5" s="41">
        <f>SUM(H:H)</f>
        <v>171832</v>
      </c>
      <c r="E5" s="24">
        <f>SUMIF(T:T,"&lt;&gt;Error",F:F)</f>
        <v>1681</v>
      </c>
      <c r="F5" s="163"/>
      <c r="G5" s="164"/>
      <c r="H5" s="164"/>
      <c r="I5" s="164"/>
      <c r="J5" s="164"/>
      <c r="K5" s="164"/>
      <c r="L5" s="164"/>
      <c r="M5" s="164"/>
      <c r="N5" s="164"/>
      <c r="O5" s="164"/>
      <c r="P5" s="164"/>
      <c r="Q5" s="164"/>
      <c r="R5" s="164"/>
      <c r="S5" s="164"/>
      <c r="T5" s="165"/>
    </row>
    <row r="6" spans="2:20" s="20" customFormat="1" ht="20.100000000000001" customHeight="1" x14ac:dyDescent="0.35">
      <c r="B6" s="179" t="s">
        <v>111</v>
      </c>
      <c r="C6" s="180"/>
      <c r="D6" s="41">
        <f>SUM(K:K)</f>
        <v>24519</v>
      </c>
      <c r="E6" s="24">
        <f>SUMIF(T:T,"&lt;&gt;Error",I:I)</f>
        <v>267</v>
      </c>
      <c r="F6" s="163"/>
      <c r="G6" s="164"/>
      <c r="H6" s="164"/>
      <c r="I6" s="164"/>
      <c r="J6" s="164"/>
      <c r="K6" s="164"/>
      <c r="L6" s="164"/>
      <c r="M6" s="164"/>
      <c r="N6" s="164"/>
      <c r="O6" s="164"/>
      <c r="P6" s="164"/>
      <c r="Q6" s="164"/>
      <c r="R6" s="164"/>
      <c r="S6" s="164"/>
      <c r="T6" s="165"/>
    </row>
    <row r="7" spans="2:20" s="20" customFormat="1" ht="20.100000000000001" customHeight="1" x14ac:dyDescent="0.35">
      <c r="B7" s="177" t="s">
        <v>112</v>
      </c>
      <c r="C7" s="178"/>
      <c r="D7" s="41">
        <f>SUM(N:N)</f>
        <v>12215</v>
      </c>
      <c r="E7" s="24">
        <f>SUMIF(T:T,"&lt;&gt;Error",L:L)</f>
        <v>165</v>
      </c>
      <c r="F7" s="163"/>
      <c r="G7" s="164"/>
      <c r="H7" s="164"/>
      <c r="I7" s="164"/>
      <c r="J7" s="164"/>
      <c r="K7" s="164"/>
      <c r="L7" s="164"/>
      <c r="M7" s="164"/>
      <c r="N7" s="164"/>
      <c r="O7" s="164"/>
      <c r="P7" s="164"/>
      <c r="Q7" s="164"/>
      <c r="R7" s="164"/>
      <c r="S7" s="164"/>
      <c r="T7" s="165"/>
    </row>
    <row r="8" spans="2:20" s="20" customFormat="1" ht="20.100000000000001" customHeight="1" x14ac:dyDescent="0.35">
      <c r="B8" s="177" t="s">
        <v>113</v>
      </c>
      <c r="C8" s="178"/>
      <c r="D8" s="41">
        <f>SUM(Q:Q)</f>
        <v>33470</v>
      </c>
      <c r="E8" s="24">
        <f>SUMIF(T:T,"&lt;&gt;Error",O:O)</f>
        <v>636</v>
      </c>
      <c r="F8" s="163"/>
      <c r="G8" s="164"/>
      <c r="H8" s="164"/>
      <c r="I8" s="164"/>
      <c r="J8" s="164"/>
      <c r="K8" s="164"/>
      <c r="L8" s="164"/>
      <c r="M8" s="164"/>
      <c r="N8" s="164"/>
      <c r="O8" s="164"/>
      <c r="P8" s="164"/>
      <c r="Q8" s="164"/>
      <c r="R8" s="164"/>
      <c r="S8" s="164"/>
      <c r="T8" s="165"/>
    </row>
    <row r="9" spans="2:20" s="20" customFormat="1" ht="20.100000000000001" customHeight="1" x14ac:dyDescent="0.35">
      <c r="B9" s="181"/>
      <c r="C9" s="182"/>
      <c r="D9" s="26">
        <f>SUM(D5:D8)</f>
        <v>242036</v>
      </c>
      <c r="E9" s="25">
        <f>SUM(E5:E8)</f>
        <v>2749</v>
      </c>
      <c r="F9" s="163"/>
      <c r="G9" s="164"/>
      <c r="H9" s="164"/>
      <c r="I9" s="164"/>
      <c r="J9" s="164"/>
      <c r="K9" s="164"/>
      <c r="L9" s="164"/>
      <c r="M9" s="164"/>
      <c r="N9" s="164"/>
      <c r="O9" s="164"/>
      <c r="P9" s="164"/>
      <c r="Q9" s="164"/>
      <c r="R9" s="164"/>
      <c r="S9" s="164"/>
      <c r="T9" s="165"/>
    </row>
    <row r="10" spans="2:20" s="20" customFormat="1" ht="8.1" customHeight="1" x14ac:dyDescent="0.35">
      <c r="B10" s="166"/>
      <c r="C10" s="167"/>
      <c r="D10" s="167"/>
      <c r="E10" s="167"/>
      <c r="F10" s="167"/>
      <c r="G10" s="167"/>
      <c r="H10" s="167"/>
      <c r="I10" s="167"/>
      <c r="J10" s="167"/>
      <c r="K10" s="167"/>
      <c r="L10" s="167"/>
      <c r="M10" s="167"/>
      <c r="N10" s="167"/>
      <c r="O10" s="167"/>
      <c r="P10" s="167"/>
      <c r="Q10" s="167"/>
      <c r="R10" s="167"/>
      <c r="S10" s="167"/>
      <c r="T10" s="168"/>
    </row>
    <row r="11" spans="2:20" s="45" customFormat="1" ht="23.1" customHeight="1" x14ac:dyDescent="0.35">
      <c r="B11" s="161" t="s">
        <v>114</v>
      </c>
      <c r="C11" s="161" t="s">
        <v>18</v>
      </c>
      <c r="D11" s="161" t="s">
        <v>115</v>
      </c>
      <c r="E11" s="161" t="s">
        <v>116</v>
      </c>
      <c r="F11" s="173" t="str">
        <f>'Unit Costs &amp; Funding Rule'!D7</f>
        <v>Manager</v>
      </c>
      <c r="G11" s="173"/>
      <c r="H11" s="173"/>
      <c r="I11" s="174" t="str">
        <f>'Unit Costs &amp; Funding Rule'!E7</f>
        <v>Teacher/Trainer/Researcher</v>
      </c>
      <c r="J11" s="175"/>
      <c r="K11" s="176"/>
      <c r="L11" s="173" t="str">
        <f>'Unit Costs &amp; Funding Rule'!F7</f>
        <v>Technical Staff</v>
      </c>
      <c r="M11" s="173"/>
      <c r="N11" s="173"/>
      <c r="O11" s="173" t="str">
        <f>'Unit Costs &amp; Funding Rule'!G7</f>
        <v>Administrative Staff</v>
      </c>
      <c r="P11" s="173"/>
      <c r="Q11" s="173"/>
      <c r="R11" s="161" t="s">
        <v>117</v>
      </c>
      <c r="S11" s="161" t="s">
        <v>118</v>
      </c>
      <c r="T11" s="161" t="s">
        <v>119</v>
      </c>
    </row>
    <row r="12" spans="2:20" s="45" customFormat="1" ht="42" customHeight="1" x14ac:dyDescent="0.35">
      <c r="B12" s="162"/>
      <c r="C12" s="162"/>
      <c r="D12" s="162"/>
      <c r="E12" s="162"/>
      <c r="F12" s="46" t="s">
        <v>120</v>
      </c>
      <c r="G12" s="27" t="s">
        <v>121</v>
      </c>
      <c r="H12" s="46" t="s">
        <v>122</v>
      </c>
      <c r="I12" s="46" t="s">
        <v>120</v>
      </c>
      <c r="J12" s="27" t="s">
        <v>121</v>
      </c>
      <c r="K12" s="46" t="s">
        <v>122</v>
      </c>
      <c r="L12" s="46" t="s">
        <v>120</v>
      </c>
      <c r="M12" s="27" t="s">
        <v>121</v>
      </c>
      <c r="N12" s="46" t="s">
        <v>122</v>
      </c>
      <c r="O12" s="46" t="s">
        <v>120</v>
      </c>
      <c r="P12" s="27" t="s">
        <v>121</v>
      </c>
      <c r="Q12" s="46" t="s">
        <v>122</v>
      </c>
      <c r="R12" s="162"/>
      <c r="S12" s="162"/>
      <c r="T12" s="162"/>
    </row>
    <row r="13" spans="2:20" s="34" customFormat="1" hidden="1" x14ac:dyDescent="0.3">
      <c r="B13" s="14"/>
      <c r="C13" s="19"/>
      <c r="D13" s="42" t="str">
        <f t="shared" ref="D13:D14" si="0">IFERROR(IF(VLOOKUP(C13,PartnerN°Ref,2,FALSE)=0,"",VLOOKUP(C13,PartnerN°Ref,2,FALSE)),"")</f>
        <v/>
      </c>
      <c r="E13" s="42" t="str">
        <f t="shared" ref="E13:E14" si="1">IFERROR(IF(OR(VLOOKUP(C13,PartnerN°Ref,4,FALSE)="Country not found",VLOOKUP(C13,PartnerN°Ref,3,FALSE)=0),"",VLOOKUP(C13,PartnerN°Ref,3,FALSE)),"")</f>
        <v/>
      </c>
      <c r="F13" s="28">
        <v>0</v>
      </c>
      <c r="G13" s="29">
        <f t="shared" ref="G13:G14" si="2">IF(T13="Error",0,INDEX(Rates,MATCH(E13,CountryALL,0),MATCH($F$11,Category,0)))</f>
        <v>0</v>
      </c>
      <c r="H13" s="30">
        <f t="shared" ref="H13:H14" si="3">IFERROR(IF(T13="Error",0,ROUND(F13*G13,2)),0)</f>
        <v>0</v>
      </c>
      <c r="I13" s="28">
        <v>0</v>
      </c>
      <c r="J13" s="29">
        <f t="shared" ref="J13:J14" si="4">IF(T13="Error",0,INDEX(Rates,MATCH(E13,CountryALL,0),MATCH($I$11,Category,0)))</f>
        <v>0</v>
      </c>
      <c r="K13" s="30">
        <f t="shared" ref="K13:K14" si="5">IFERROR(IF(T13="Error",0,ROUND(I13*J13,2)),0)</f>
        <v>0</v>
      </c>
      <c r="L13" s="28">
        <v>0</v>
      </c>
      <c r="M13" s="29">
        <f t="shared" ref="M13:M14" si="6">IF(T13="Error",0,INDEX(Rates,MATCH(E13,CountryALL,0),MATCH($L$11,Category,0)))</f>
        <v>0</v>
      </c>
      <c r="N13" s="30">
        <f t="shared" ref="N13:N14" si="7">IFERROR(IF(T13="Error",0,ROUND(L13*M13,2)),0)</f>
        <v>0</v>
      </c>
      <c r="O13" s="28">
        <v>0</v>
      </c>
      <c r="P13" s="29">
        <f t="shared" ref="P13:P14" si="8">IF(T13="Error",0,INDEX(Rates,MATCH(E13,CountryALL,0),MATCH($O$11,Category,0)))</f>
        <v>0</v>
      </c>
      <c r="Q13" s="30">
        <f t="shared" ref="Q13:Q14" si="9">IFERROR(IF(T13="Error",0,ROUND(O13*P13,2)),0)</f>
        <v>0</v>
      </c>
      <c r="R13" s="31">
        <f t="shared" ref="R13:R14" si="10">IF(T13="Error",0,F13+I13+L13+O13)</f>
        <v>0</v>
      </c>
      <c r="S13" s="32">
        <f t="shared" ref="S13:S14" si="11">IF(T13="Error",0,H13+K13+N13+Q13)</f>
        <v>0</v>
      </c>
      <c r="T13" s="33" t="str">
        <f t="shared" ref="T13:T14" si="12">IF(OR(COUNTIF(WorkPackage,B13)=0,COUNTIF(PartnerN°,C13)=0,D13="",COUNTIF(CountryALL,E13)=0,ISNUMBER(F13)=FALSE,ISNUMBER(I13)=FALSE,ISNUMBER(L13)=FALSE,ISNUMBER(O13)=FALSE,IF(ISNUMBER(F13)=TRUE,F13=INT(F13*10)/10=FALSE),IF(ISNUMBER(I13)=TRUE,I13=INT(I13*10)/10=FALSE),IF(ISNUMBER(L13)=TRUE,L13=INT(L13*10)/10=FALSE),IF(ISNUMBER(O13)=TRUE,O13=INT(O13*10)/10=FALSE)),"Error","")</f>
        <v>Error</v>
      </c>
    </row>
    <row r="14" spans="2:20" s="34" customFormat="1" x14ac:dyDescent="0.3">
      <c r="B14" s="14" t="s">
        <v>123</v>
      </c>
      <c r="C14" s="19" t="s">
        <v>41</v>
      </c>
      <c r="D14" s="42" t="str">
        <f t="shared" si="0"/>
        <v xml:space="preserve">Udruga Eko </v>
      </c>
      <c r="E14" s="42" t="str">
        <f t="shared" si="1"/>
        <v>Croatia</v>
      </c>
      <c r="F14" s="28">
        <v>32</v>
      </c>
      <c r="G14" s="29">
        <f t="shared" si="2"/>
        <v>88</v>
      </c>
      <c r="H14" s="30">
        <f t="shared" si="3"/>
        <v>2816</v>
      </c>
      <c r="I14" s="28">
        <v>50</v>
      </c>
      <c r="J14" s="29">
        <f t="shared" si="4"/>
        <v>74</v>
      </c>
      <c r="K14" s="30">
        <f t="shared" si="5"/>
        <v>3700</v>
      </c>
      <c r="L14" s="28">
        <v>0</v>
      </c>
      <c r="M14" s="29">
        <f t="shared" si="6"/>
        <v>55</v>
      </c>
      <c r="N14" s="30">
        <f t="shared" si="7"/>
        <v>0</v>
      </c>
      <c r="O14" s="28">
        <v>35</v>
      </c>
      <c r="P14" s="29">
        <f t="shared" si="8"/>
        <v>39</v>
      </c>
      <c r="Q14" s="30">
        <f t="shared" si="9"/>
        <v>1365</v>
      </c>
      <c r="R14" s="31">
        <f t="shared" si="10"/>
        <v>117</v>
      </c>
      <c r="S14" s="32">
        <f t="shared" si="11"/>
        <v>7881</v>
      </c>
      <c r="T14" s="33" t="str">
        <f t="shared" si="12"/>
        <v/>
      </c>
    </row>
    <row r="15" spans="2:20" s="34" customFormat="1" x14ac:dyDescent="0.3">
      <c r="B15" s="14" t="s">
        <v>123</v>
      </c>
      <c r="C15" s="19" t="s">
        <v>44</v>
      </c>
      <c r="D15" s="42" t="str">
        <f t="shared" ref="D15:D65" si="13">IFERROR(IF(VLOOKUP(C15,PartnerN°Ref,2,FALSE)=0,"",VLOOKUP(C15,PartnerN°Ref,2,FALSE)),"")</f>
        <v>Eko Drustvo Duboko</v>
      </c>
      <c r="E15" s="42" t="str">
        <f t="shared" ref="E15:E65" si="14">IFERROR(IF(OR(VLOOKUP(C15,PartnerN°Ref,4,FALSE)="Country not found",VLOOKUP(C15,PartnerN°Ref,3,FALSE)=0),"",VLOOKUP(C15,PartnerN°Ref,3,FALSE)),"")</f>
        <v>Serbia</v>
      </c>
      <c r="F15" s="28">
        <v>0</v>
      </c>
      <c r="G15" s="29">
        <f t="shared" ref="G15:G65" si="15">IF(T15="Error",0,INDEX(Rates,MATCH(E15,CountryALL,0),MATCH($F$11,Category,0)))</f>
        <v>88</v>
      </c>
      <c r="H15" s="30">
        <f t="shared" ref="H15:H65" si="16">IFERROR(IF(T15="Error",0,ROUND(F15*G15,2)),0)</f>
        <v>0</v>
      </c>
      <c r="I15" s="28">
        <v>0</v>
      </c>
      <c r="J15" s="29">
        <f t="shared" ref="J15:J65" si="17">IF(T15="Error",0,INDEX(Rates,MATCH(E15,CountryALL,0),MATCH($I$11,Category,0)))</f>
        <v>74</v>
      </c>
      <c r="K15" s="30">
        <f t="shared" ref="K15:K65" si="18">IFERROR(IF(T15="Error",0,ROUND(I15*J15,2)),0)</f>
        <v>0</v>
      </c>
      <c r="L15" s="28">
        <v>0</v>
      </c>
      <c r="M15" s="29">
        <f t="shared" ref="M15:M65" si="19">IF(T15="Error",0,INDEX(Rates,MATCH(E15,CountryALL,0),MATCH($L$11,Category,0)))</f>
        <v>55</v>
      </c>
      <c r="N15" s="30">
        <f t="shared" ref="N15:N65" si="20">IFERROR(IF(T15="Error",0,ROUND(L15*M15,2)),0)</f>
        <v>0</v>
      </c>
      <c r="O15" s="28">
        <v>10</v>
      </c>
      <c r="P15" s="29">
        <f t="shared" ref="P15:P65" si="21">IF(T15="Error",0,INDEX(Rates,MATCH(E15,CountryALL,0),MATCH($O$11,Category,0)))</f>
        <v>39</v>
      </c>
      <c r="Q15" s="30">
        <f t="shared" ref="Q15:Q65" si="22">IFERROR(IF(T15="Error",0,ROUND(O15*P15,2)),0)</f>
        <v>390</v>
      </c>
      <c r="R15" s="31">
        <f t="shared" ref="R15:R65" si="23">IF(T15="Error",0,F15+I15+L15+O15)</f>
        <v>10</v>
      </c>
      <c r="S15" s="32">
        <f t="shared" ref="S15:S65" si="24">IF(T15="Error",0,H15+K15+N15+Q15)</f>
        <v>390</v>
      </c>
      <c r="T15" s="33" t="str">
        <f t="shared" ref="T15:T65" si="25">IF(OR(COUNTIF(WorkPackage,B15)=0,COUNTIF(PartnerN°,C15)=0,D15="",COUNTIF(CountryALL,E15)=0,ISNUMBER(F15)=FALSE,ISNUMBER(I15)=FALSE,ISNUMBER(L15)=FALSE,ISNUMBER(O15)=FALSE,IF(ISNUMBER(F15)=TRUE,F15=INT(F15*10)/10=FALSE),IF(ISNUMBER(I15)=TRUE,I15=INT(I15*10)/10=FALSE),IF(ISNUMBER(L15)=TRUE,L15=INT(L15*10)/10=FALSE),IF(ISNUMBER(O15)=TRUE,O15=INT(O15*10)/10=FALSE)),"Error","")</f>
        <v/>
      </c>
    </row>
    <row r="16" spans="2:20" s="34" customFormat="1" x14ac:dyDescent="0.3">
      <c r="B16" s="14" t="s">
        <v>123</v>
      </c>
      <c r="C16" s="19" t="s">
        <v>46</v>
      </c>
      <c r="D16" s="42" t="str">
        <f t="shared" si="13"/>
        <v>Eko Albanija</v>
      </c>
      <c r="E16" s="42" t="str">
        <f t="shared" si="14"/>
        <v>Albania</v>
      </c>
      <c r="F16" s="28">
        <v>0</v>
      </c>
      <c r="G16" s="29">
        <f t="shared" si="15"/>
        <v>108</v>
      </c>
      <c r="H16" s="30">
        <f t="shared" si="16"/>
        <v>0</v>
      </c>
      <c r="I16" s="28">
        <v>0</v>
      </c>
      <c r="J16" s="29">
        <f t="shared" si="17"/>
        <v>80</v>
      </c>
      <c r="K16" s="30">
        <f t="shared" si="18"/>
        <v>0</v>
      </c>
      <c r="L16" s="28">
        <v>0</v>
      </c>
      <c r="M16" s="29">
        <f t="shared" si="19"/>
        <v>57</v>
      </c>
      <c r="N16" s="30">
        <f t="shared" si="20"/>
        <v>0</v>
      </c>
      <c r="O16" s="28">
        <v>10</v>
      </c>
      <c r="P16" s="29">
        <f t="shared" si="21"/>
        <v>45</v>
      </c>
      <c r="Q16" s="30">
        <f t="shared" si="22"/>
        <v>450</v>
      </c>
      <c r="R16" s="31">
        <f t="shared" si="23"/>
        <v>10</v>
      </c>
      <c r="S16" s="32">
        <f t="shared" si="24"/>
        <v>450</v>
      </c>
      <c r="T16" s="33" t="str">
        <f t="shared" si="25"/>
        <v/>
      </c>
    </row>
    <row r="17" spans="2:20" s="34" customFormat="1" x14ac:dyDescent="0.3">
      <c r="B17" s="14" t="s">
        <v>123</v>
      </c>
      <c r="C17" s="19" t="s">
        <v>59</v>
      </c>
      <c r="D17" s="42" t="str">
        <f t="shared" si="13"/>
        <v>Arcturos</v>
      </c>
      <c r="E17" s="42" t="str">
        <f t="shared" si="14"/>
        <v>Greece</v>
      </c>
      <c r="F17" s="28">
        <v>0</v>
      </c>
      <c r="G17" s="29">
        <f t="shared" si="15"/>
        <v>164</v>
      </c>
      <c r="H17" s="30">
        <f t="shared" si="16"/>
        <v>0</v>
      </c>
      <c r="I17" s="28">
        <v>0</v>
      </c>
      <c r="J17" s="29">
        <f t="shared" si="17"/>
        <v>137</v>
      </c>
      <c r="K17" s="30">
        <f t="shared" si="18"/>
        <v>0</v>
      </c>
      <c r="L17" s="28">
        <v>0</v>
      </c>
      <c r="M17" s="29">
        <f t="shared" si="19"/>
        <v>102</v>
      </c>
      <c r="N17" s="30">
        <f t="shared" si="20"/>
        <v>0</v>
      </c>
      <c r="O17" s="28">
        <v>10</v>
      </c>
      <c r="P17" s="29">
        <f t="shared" si="21"/>
        <v>78</v>
      </c>
      <c r="Q17" s="30">
        <f t="shared" si="22"/>
        <v>780</v>
      </c>
      <c r="R17" s="31">
        <f t="shared" si="23"/>
        <v>10</v>
      </c>
      <c r="S17" s="32">
        <f t="shared" si="24"/>
        <v>780</v>
      </c>
      <c r="T17" s="33" t="str">
        <f t="shared" si="25"/>
        <v/>
      </c>
    </row>
    <row r="18" spans="2:20" s="34" customFormat="1" x14ac:dyDescent="0.3">
      <c r="B18" s="14" t="s">
        <v>123</v>
      </c>
      <c r="C18" s="19" t="s">
        <v>54</v>
      </c>
      <c r="D18" s="42" t="str">
        <f t="shared" si="13"/>
        <v>BES</v>
      </c>
      <c r="E18" s="42" t="str">
        <f t="shared" si="14"/>
        <v>Bulgaria</v>
      </c>
      <c r="F18" s="28">
        <v>0</v>
      </c>
      <c r="G18" s="29">
        <f t="shared" si="15"/>
        <v>88</v>
      </c>
      <c r="H18" s="30">
        <f t="shared" si="16"/>
        <v>0</v>
      </c>
      <c r="I18" s="28">
        <v>0</v>
      </c>
      <c r="J18" s="29">
        <f t="shared" si="17"/>
        <v>74</v>
      </c>
      <c r="K18" s="30">
        <f t="shared" si="18"/>
        <v>0</v>
      </c>
      <c r="L18" s="28">
        <v>0</v>
      </c>
      <c r="M18" s="29">
        <f t="shared" si="19"/>
        <v>55</v>
      </c>
      <c r="N18" s="30">
        <f t="shared" si="20"/>
        <v>0</v>
      </c>
      <c r="O18" s="28">
        <v>10</v>
      </c>
      <c r="P18" s="29">
        <f t="shared" si="21"/>
        <v>39</v>
      </c>
      <c r="Q18" s="30">
        <f t="shared" si="22"/>
        <v>390</v>
      </c>
      <c r="R18" s="31">
        <f t="shared" si="23"/>
        <v>10</v>
      </c>
      <c r="S18" s="32">
        <f t="shared" si="24"/>
        <v>390</v>
      </c>
      <c r="T18" s="33" t="str">
        <f t="shared" si="25"/>
        <v/>
      </c>
    </row>
    <row r="19" spans="2:20" s="34" customFormat="1" x14ac:dyDescent="0.3">
      <c r="B19" s="14" t="s">
        <v>123</v>
      </c>
      <c r="C19" s="19" t="s">
        <v>49</v>
      </c>
      <c r="D19" s="42" t="str">
        <f t="shared" si="13"/>
        <v>Ekoloski Pokret Ibar</v>
      </c>
      <c r="E19" s="42" t="str">
        <f t="shared" si="14"/>
        <v>Serbia</v>
      </c>
      <c r="F19" s="28">
        <v>0</v>
      </c>
      <c r="G19" s="29">
        <f t="shared" si="15"/>
        <v>88</v>
      </c>
      <c r="H19" s="30">
        <f t="shared" si="16"/>
        <v>0</v>
      </c>
      <c r="I19" s="28">
        <v>0</v>
      </c>
      <c r="J19" s="29">
        <f t="shared" si="17"/>
        <v>74</v>
      </c>
      <c r="K19" s="30">
        <f t="shared" si="18"/>
        <v>0</v>
      </c>
      <c r="L19" s="28">
        <v>0</v>
      </c>
      <c r="M19" s="29">
        <f t="shared" si="19"/>
        <v>55</v>
      </c>
      <c r="N19" s="30">
        <f t="shared" si="20"/>
        <v>0</v>
      </c>
      <c r="O19" s="28">
        <v>10</v>
      </c>
      <c r="P19" s="29">
        <f t="shared" si="21"/>
        <v>39</v>
      </c>
      <c r="Q19" s="30">
        <f t="shared" si="22"/>
        <v>390</v>
      </c>
      <c r="R19" s="31">
        <f t="shared" si="23"/>
        <v>10</v>
      </c>
      <c r="S19" s="32">
        <f t="shared" si="24"/>
        <v>390</v>
      </c>
      <c r="T19" s="33" t="str">
        <f t="shared" si="25"/>
        <v/>
      </c>
    </row>
    <row r="20" spans="2:20" s="34" customFormat="1" x14ac:dyDescent="0.3">
      <c r="B20" s="14" t="s">
        <v>123</v>
      </c>
      <c r="C20" s="19" t="s">
        <v>31</v>
      </c>
      <c r="D20" s="42" t="str">
        <f t="shared" si="13"/>
        <v>Zelena Lista Srbije</v>
      </c>
      <c r="E20" s="42" t="str">
        <f t="shared" si="14"/>
        <v>Serbia</v>
      </c>
      <c r="F20" s="28">
        <v>0</v>
      </c>
      <c r="G20" s="29">
        <f t="shared" si="15"/>
        <v>88</v>
      </c>
      <c r="H20" s="30">
        <f t="shared" si="16"/>
        <v>0</v>
      </c>
      <c r="I20" s="28">
        <v>0</v>
      </c>
      <c r="J20" s="29">
        <f t="shared" si="17"/>
        <v>74</v>
      </c>
      <c r="K20" s="30">
        <f t="shared" si="18"/>
        <v>0</v>
      </c>
      <c r="L20" s="28">
        <v>0</v>
      </c>
      <c r="M20" s="29">
        <f t="shared" si="19"/>
        <v>55</v>
      </c>
      <c r="N20" s="30">
        <f t="shared" si="20"/>
        <v>0</v>
      </c>
      <c r="O20" s="28">
        <v>10</v>
      </c>
      <c r="P20" s="29">
        <f t="shared" si="21"/>
        <v>39</v>
      </c>
      <c r="Q20" s="30">
        <f t="shared" si="22"/>
        <v>390</v>
      </c>
      <c r="R20" s="31">
        <f t="shared" si="23"/>
        <v>10</v>
      </c>
      <c r="S20" s="32">
        <f t="shared" si="24"/>
        <v>390</v>
      </c>
      <c r="T20" s="33" t="str">
        <f t="shared" si="25"/>
        <v/>
      </c>
    </row>
    <row r="21" spans="2:20" s="34" customFormat="1" x14ac:dyDescent="0.3">
      <c r="B21" s="14" t="s">
        <v>123</v>
      </c>
      <c r="C21" s="19" t="s">
        <v>57</v>
      </c>
      <c r="D21" s="42" t="str">
        <f t="shared" si="13"/>
        <v xml:space="preserve">Zeleni Kljuc </v>
      </c>
      <c r="E21" s="42" t="str">
        <f t="shared" si="14"/>
        <v>Serbia</v>
      </c>
      <c r="F21" s="28">
        <v>0</v>
      </c>
      <c r="G21" s="29">
        <f t="shared" si="15"/>
        <v>88</v>
      </c>
      <c r="H21" s="30">
        <f t="shared" si="16"/>
        <v>0</v>
      </c>
      <c r="I21" s="28">
        <v>0</v>
      </c>
      <c r="J21" s="29">
        <f t="shared" si="17"/>
        <v>74</v>
      </c>
      <c r="K21" s="30">
        <f t="shared" si="18"/>
        <v>0</v>
      </c>
      <c r="L21" s="28">
        <v>0</v>
      </c>
      <c r="M21" s="29">
        <f t="shared" si="19"/>
        <v>55</v>
      </c>
      <c r="N21" s="30">
        <f t="shared" si="20"/>
        <v>0</v>
      </c>
      <c r="O21" s="28">
        <v>10</v>
      </c>
      <c r="P21" s="29">
        <f t="shared" si="21"/>
        <v>39</v>
      </c>
      <c r="Q21" s="30">
        <f t="shared" si="22"/>
        <v>390</v>
      </c>
      <c r="R21" s="31">
        <f t="shared" si="23"/>
        <v>10</v>
      </c>
      <c r="S21" s="32">
        <f t="shared" si="24"/>
        <v>390</v>
      </c>
      <c r="T21" s="33" t="str">
        <f t="shared" si="25"/>
        <v/>
      </c>
    </row>
    <row r="22" spans="2:20" s="34" customFormat="1" x14ac:dyDescent="0.3">
      <c r="B22" s="14" t="s">
        <v>123</v>
      </c>
      <c r="C22" s="19" t="s">
        <v>33</v>
      </c>
      <c r="D22" s="42" t="str">
        <f t="shared" si="13"/>
        <v xml:space="preserve">TURMEPA </v>
      </c>
      <c r="E22" s="42" t="str">
        <f t="shared" si="14"/>
        <v>Turkey</v>
      </c>
      <c r="F22" s="28">
        <v>0</v>
      </c>
      <c r="G22" s="29">
        <f t="shared" si="15"/>
        <v>88</v>
      </c>
      <c r="H22" s="30">
        <f t="shared" si="16"/>
        <v>0</v>
      </c>
      <c r="I22" s="28">
        <v>0</v>
      </c>
      <c r="J22" s="29">
        <f t="shared" si="17"/>
        <v>74</v>
      </c>
      <c r="K22" s="30">
        <f t="shared" si="18"/>
        <v>0</v>
      </c>
      <c r="L22" s="28">
        <v>0</v>
      </c>
      <c r="M22" s="29">
        <f t="shared" si="19"/>
        <v>55</v>
      </c>
      <c r="N22" s="30">
        <f t="shared" si="20"/>
        <v>0</v>
      </c>
      <c r="O22" s="28">
        <v>10</v>
      </c>
      <c r="P22" s="29">
        <f t="shared" si="21"/>
        <v>39</v>
      </c>
      <c r="Q22" s="30">
        <f t="shared" si="22"/>
        <v>390</v>
      </c>
      <c r="R22" s="31">
        <f t="shared" si="23"/>
        <v>10</v>
      </c>
      <c r="S22" s="32">
        <f t="shared" si="24"/>
        <v>390</v>
      </c>
      <c r="T22" s="33" t="str">
        <f t="shared" si="25"/>
        <v/>
      </c>
    </row>
    <row r="23" spans="2:20" s="34" customFormat="1" x14ac:dyDescent="0.3">
      <c r="B23" s="14" t="s">
        <v>123</v>
      </c>
      <c r="C23" s="19" t="s">
        <v>28</v>
      </c>
      <c r="D23" s="42" t="str">
        <f t="shared" si="13"/>
        <v>TeamChatGPT</v>
      </c>
      <c r="E23" s="42" t="str">
        <f t="shared" si="14"/>
        <v>Serbia</v>
      </c>
      <c r="F23" s="28">
        <v>0</v>
      </c>
      <c r="G23" s="29">
        <f t="shared" si="15"/>
        <v>88</v>
      </c>
      <c r="H23" s="30">
        <f t="shared" si="16"/>
        <v>0</v>
      </c>
      <c r="I23" s="28">
        <v>0</v>
      </c>
      <c r="J23" s="29">
        <f t="shared" si="17"/>
        <v>74</v>
      </c>
      <c r="K23" s="30">
        <f t="shared" si="18"/>
        <v>0</v>
      </c>
      <c r="L23" s="28">
        <v>0</v>
      </c>
      <c r="M23" s="29">
        <f t="shared" si="19"/>
        <v>55</v>
      </c>
      <c r="N23" s="30">
        <f t="shared" si="20"/>
        <v>0</v>
      </c>
      <c r="O23" s="28">
        <v>10</v>
      </c>
      <c r="P23" s="29">
        <f t="shared" si="21"/>
        <v>39</v>
      </c>
      <c r="Q23" s="30">
        <f t="shared" si="22"/>
        <v>390</v>
      </c>
      <c r="R23" s="31">
        <f t="shared" si="23"/>
        <v>10</v>
      </c>
      <c r="S23" s="32">
        <f t="shared" si="24"/>
        <v>390</v>
      </c>
      <c r="T23" s="33" t="str">
        <f t="shared" si="25"/>
        <v/>
      </c>
    </row>
    <row r="24" spans="2:20" s="34" customFormat="1" x14ac:dyDescent="0.3">
      <c r="B24" s="14" t="s">
        <v>123</v>
      </c>
      <c r="C24" s="19" t="s">
        <v>39</v>
      </c>
      <c r="D24" s="42" t="str">
        <f t="shared" si="13"/>
        <v>Eko Centar Srbija</v>
      </c>
      <c r="E24" s="42" t="str">
        <f t="shared" si="14"/>
        <v>Serbia</v>
      </c>
      <c r="F24" s="28">
        <v>0</v>
      </c>
      <c r="G24" s="29">
        <f t="shared" si="15"/>
        <v>88</v>
      </c>
      <c r="H24" s="30">
        <f t="shared" si="16"/>
        <v>0</v>
      </c>
      <c r="I24" s="28">
        <v>0</v>
      </c>
      <c r="J24" s="29">
        <f t="shared" si="17"/>
        <v>74</v>
      </c>
      <c r="K24" s="30">
        <f t="shared" si="18"/>
        <v>0</v>
      </c>
      <c r="L24" s="28">
        <v>0</v>
      </c>
      <c r="M24" s="29">
        <f t="shared" si="19"/>
        <v>55</v>
      </c>
      <c r="N24" s="30">
        <f t="shared" si="20"/>
        <v>0</v>
      </c>
      <c r="O24" s="28">
        <v>10</v>
      </c>
      <c r="P24" s="29">
        <f t="shared" si="21"/>
        <v>39</v>
      </c>
      <c r="Q24" s="30">
        <f t="shared" si="22"/>
        <v>390</v>
      </c>
      <c r="R24" s="31">
        <f t="shared" si="23"/>
        <v>10</v>
      </c>
      <c r="S24" s="32">
        <f t="shared" si="24"/>
        <v>390</v>
      </c>
      <c r="T24" s="33" t="str">
        <f t="shared" si="25"/>
        <v/>
      </c>
    </row>
    <row r="25" spans="2:20" s="34" customFormat="1" x14ac:dyDescent="0.3">
      <c r="B25" s="14" t="s">
        <v>123</v>
      </c>
      <c r="C25" s="19" t="s">
        <v>62</v>
      </c>
      <c r="D25" s="42" t="str">
        <f t="shared" si="13"/>
        <v>Ministarstvo zaštite životne sredine</v>
      </c>
      <c r="E25" s="42" t="str">
        <f t="shared" si="14"/>
        <v>Serbia</v>
      </c>
      <c r="F25" s="28">
        <v>0</v>
      </c>
      <c r="G25" s="29">
        <f t="shared" si="15"/>
        <v>88</v>
      </c>
      <c r="H25" s="30">
        <f t="shared" si="16"/>
        <v>0</v>
      </c>
      <c r="I25" s="28">
        <v>0</v>
      </c>
      <c r="J25" s="29">
        <f t="shared" si="17"/>
        <v>74</v>
      </c>
      <c r="K25" s="30">
        <f t="shared" si="18"/>
        <v>0</v>
      </c>
      <c r="L25" s="28">
        <v>0</v>
      </c>
      <c r="M25" s="29">
        <f t="shared" si="19"/>
        <v>55</v>
      </c>
      <c r="N25" s="30">
        <f t="shared" si="20"/>
        <v>0</v>
      </c>
      <c r="O25" s="28">
        <v>10</v>
      </c>
      <c r="P25" s="29">
        <f t="shared" si="21"/>
        <v>39</v>
      </c>
      <c r="Q25" s="30">
        <f t="shared" si="22"/>
        <v>390</v>
      </c>
      <c r="R25" s="31">
        <f t="shared" si="23"/>
        <v>10</v>
      </c>
      <c r="S25" s="32">
        <f t="shared" si="24"/>
        <v>390</v>
      </c>
      <c r="T25" s="33" t="str">
        <f t="shared" si="25"/>
        <v/>
      </c>
    </row>
    <row r="26" spans="2:20" s="34" customFormat="1" x14ac:dyDescent="0.3">
      <c r="B26" s="14" t="s">
        <v>124</v>
      </c>
      <c r="C26" s="19" t="s">
        <v>28</v>
      </c>
      <c r="D26" s="42" t="str">
        <f t="shared" si="13"/>
        <v>TeamChatGPT</v>
      </c>
      <c r="E26" s="42" t="str">
        <f t="shared" si="14"/>
        <v>Serbia</v>
      </c>
      <c r="F26" s="28">
        <v>124</v>
      </c>
      <c r="G26" s="29">
        <f t="shared" si="15"/>
        <v>88</v>
      </c>
      <c r="H26" s="30">
        <f t="shared" si="16"/>
        <v>10912</v>
      </c>
      <c r="I26" s="28">
        <v>37</v>
      </c>
      <c r="J26" s="29">
        <f t="shared" si="17"/>
        <v>74</v>
      </c>
      <c r="K26" s="30">
        <f t="shared" si="18"/>
        <v>2738</v>
      </c>
      <c r="L26" s="28">
        <v>28</v>
      </c>
      <c r="M26" s="29">
        <f t="shared" si="19"/>
        <v>55</v>
      </c>
      <c r="N26" s="30">
        <f t="shared" si="20"/>
        <v>1540</v>
      </c>
      <c r="O26" s="28">
        <v>105</v>
      </c>
      <c r="P26" s="29">
        <f t="shared" si="21"/>
        <v>39</v>
      </c>
      <c r="Q26" s="30">
        <f t="shared" si="22"/>
        <v>4095</v>
      </c>
      <c r="R26" s="31">
        <f t="shared" si="23"/>
        <v>294</v>
      </c>
      <c r="S26" s="32">
        <f t="shared" si="24"/>
        <v>19285</v>
      </c>
      <c r="T26" s="33" t="str">
        <f t="shared" si="25"/>
        <v/>
      </c>
    </row>
    <row r="27" spans="2:20" s="34" customFormat="1" x14ac:dyDescent="0.3">
      <c r="B27" s="14" t="s">
        <v>124</v>
      </c>
      <c r="C27" s="19" t="s">
        <v>44</v>
      </c>
      <c r="D27" s="42" t="str">
        <f t="shared" si="13"/>
        <v>Eko Drustvo Duboko</v>
      </c>
      <c r="E27" s="42" t="str">
        <f t="shared" si="14"/>
        <v>Serbia</v>
      </c>
      <c r="F27" s="28">
        <v>143</v>
      </c>
      <c r="G27" s="29">
        <f t="shared" si="15"/>
        <v>88</v>
      </c>
      <c r="H27" s="30">
        <f t="shared" si="16"/>
        <v>12584</v>
      </c>
      <c r="I27" s="28">
        <v>6</v>
      </c>
      <c r="J27" s="29">
        <f t="shared" si="17"/>
        <v>74</v>
      </c>
      <c r="K27" s="30">
        <f t="shared" si="18"/>
        <v>444</v>
      </c>
      <c r="L27" s="28">
        <v>56</v>
      </c>
      <c r="M27" s="29">
        <f t="shared" si="19"/>
        <v>55</v>
      </c>
      <c r="N27" s="30">
        <f t="shared" si="20"/>
        <v>3080</v>
      </c>
      <c r="O27" s="28">
        <v>146</v>
      </c>
      <c r="P27" s="29">
        <f t="shared" si="21"/>
        <v>39</v>
      </c>
      <c r="Q27" s="30">
        <f t="shared" si="22"/>
        <v>5694</v>
      </c>
      <c r="R27" s="31">
        <f t="shared" si="23"/>
        <v>351</v>
      </c>
      <c r="S27" s="32">
        <f t="shared" si="24"/>
        <v>21802</v>
      </c>
      <c r="T27" s="33" t="str">
        <f t="shared" si="25"/>
        <v/>
      </c>
    </row>
    <row r="28" spans="2:20" s="34" customFormat="1" x14ac:dyDescent="0.3">
      <c r="B28" s="14" t="s">
        <v>124</v>
      </c>
      <c r="C28" s="19" t="s">
        <v>46</v>
      </c>
      <c r="D28" s="42" t="str">
        <f t="shared" si="13"/>
        <v>Eko Albanija</v>
      </c>
      <c r="E28" s="42" t="str">
        <f t="shared" si="14"/>
        <v>Albania</v>
      </c>
      <c r="F28" s="28">
        <v>3</v>
      </c>
      <c r="G28" s="29">
        <f t="shared" si="15"/>
        <v>108</v>
      </c>
      <c r="H28" s="30">
        <f t="shared" si="16"/>
        <v>324</v>
      </c>
      <c r="I28" s="28">
        <v>6</v>
      </c>
      <c r="J28" s="29">
        <f t="shared" si="17"/>
        <v>80</v>
      </c>
      <c r="K28" s="30">
        <f t="shared" si="18"/>
        <v>480</v>
      </c>
      <c r="L28" s="28">
        <v>0</v>
      </c>
      <c r="M28" s="29">
        <f t="shared" si="19"/>
        <v>57</v>
      </c>
      <c r="N28" s="30">
        <f t="shared" si="20"/>
        <v>0</v>
      </c>
      <c r="O28" s="28">
        <v>0</v>
      </c>
      <c r="P28" s="29">
        <f t="shared" si="21"/>
        <v>45</v>
      </c>
      <c r="Q28" s="30">
        <f t="shared" si="22"/>
        <v>0</v>
      </c>
      <c r="R28" s="31">
        <f t="shared" si="23"/>
        <v>9</v>
      </c>
      <c r="S28" s="32">
        <f t="shared" si="24"/>
        <v>804</v>
      </c>
      <c r="T28" s="33" t="str">
        <f t="shared" si="25"/>
        <v/>
      </c>
    </row>
    <row r="29" spans="2:20" s="34" customFormat="1" x14ac:dyDescent="0.3">
      <c r="B29" s="14" t="s">
        <v>124</v>
      </c>
      <c r="C29" s="19" t="s">
        <v>59</v>
      </c>
      <c r="D29" s="42" t="str">
        <f t="shared" si="13"/>
        <v>Arcturos</v>
      </c>
      <c r="E29" s="42" t="str">
        <f t="shared" si="14"/>
        <v>Greece</v>
      </c>
      <c r="F29" s="28">
        <v>24</v>
      </c>
      <c r="G29" s="29">
        <f t="shared" si="15"/>
        <v>164</v>
      </c>
      <c r="H29" s="30">
        <f t="shared" si="16"/>
        <v>3936</v>
      </c>
      <c r="I29" s="28">
        <v>21</v>
      </c>
      <c r="J29" s="29">
        <f t="shared" si="17"/>
        <v>137</v>
      </c>
      <c r="K29" s="30">
        <f t="shared" si="18"/>
        <v>2877</v>
      </c>
      <c r="L29" s="28">
        <v>19</v>
      </c>
      <c r="M29" s="29">
        <f t="shared" si="19"/>
        <v>102</v>
      </c>
      <c r="N29" s="30">
        <f t="shared" si="20"/>
        <v>1938</v>
      </c>
      <c r="O29" s="28">
        <v>80</v>
      </c>
      <c r="P29" s="29">
        <f t="shared" si="21"/>
        <v>78</v>
      </c>
      <c r="Q29" s="30">
        <f t="shared" si="22"/>
        <v>6240</v>
      </c>
      <c r="R29" s="31">
        <f t="shared" si="23"/>
        <v>144</v>
      </c>
      <c r="S29" s="32">
        <f t="shared" si="24"/>
        <v>14991</v>
      </c>
      <c r="T29" s="33" t="str">
        <f t="shared" si="25"/>
        <v/>
      </c>
    </row>
    <row r="30" spans="2:20" s="34" customFormat="1" x14ac:dyDescent="0.3">
      <c r="B30" s="14" t="s">
        <v>124</v>
      </c>
      <c r="C30" s="19" t="s">
        <v>54</v>
      </c>
      <c r="D30" s="42" t="str">
        <f t="shared" si="13"/>
        <v>BES</v>
      </c>
      <c r="E30" s="42" t="str">
        <f t="shared" si="14"/>
        <v>Bulgaria</v>
      </c>
      <c r="F30" s="28">
        <v>66</v>
      </c>
      <c r="G30" s="29">
        <f t="shared" si="15"/>
        <v>88</v>
      </c>
      <c r="H30" s="30">
        <f t="shared" si="16"/>
        <v>5808</v>
      </c>
      <c r="I30" s="28">
        <v>6</v>
      </c>
      <c r="J30" s="29">
        <f t="shared" si="17"/>
        <v>74</v>
      </c>
      <c r="K30" s="30">
        <f t="shared" si="18"/>
        <v>444</v>
      </c>
      <c r="L30" s="28">
        <v>21</v>
      </c>
      <c r="M30" s="29">
        <f t="shared" si="19"/>
        <v>55</v>
      </c>
      <c r="N30" s="30">
        <f t="shared" si="20"/>
        <v>1155</v>
      </c>
      <c r="O30" s="28">
        <v>69</v>
      </c>
      <c r="P30" s="29">
        <f t="shared" si="21"/>
        <v>39</v>
      </c>
      <c r="Q30" s="30">
        <f t="shared" si="22"/>
        <v>2691</v>
      </c>
      <c r="R30" s="31">
        <f t="shared" si="23"/>
        <v>162</v>
      </c>
      <c r="S30" s="32">
        <f t="shared" si="24"/>
        <v>10098</v>
      </c>
      <c r="T30" s="33" t="str">
        <f t="shared" si="25"/>
        <v/>
      </c>
    </row>
    <row r="31" spans="2:20" s="34" customFormat="1" x14ac:dyDescent="0.3">
      <c r="B31" s="14" t="s">
        <v>124</v>
      </c>
      <c r="C31" s="19" t="s">
        <v>49</v>
      </c>
      <c r="D31" s="42" t="str">
        <f t="shared" si="13"/>
        <v>Ekoloski Pokret Ibar</v>
      </c>
      <c r="E31" s="42" t="str">
        <f t="shared" si="14"/>
        <v>Serbia</v>
      </c>
      <c r="F31" s="28">
        <v>0</v>
      </c>
      <c r="G31" s="29">
        <f t="shared" si="15"/>
        <v>88</v>
      </c>
      <c r="H31" s="30">
        <f t="shared" si="16"/>
        <v>0</v>
      </c>
      <c r="I31" s="28">
        <v>0</v>
      </c>
      <c r="J31" s="29">
        <f t="shared" si="17"/>
        <v>74</v>
      </c>
      <c r="K31" s="30">
        <f t="shared" si="18"/>
        <v>0</v>
      </c>
      <c r="L31" s="28">
        <v>0</v>
      </c>
      <c r="M31" s="29">
        <f t="shared" si="19"/>
        <v>55</v>
      </c>
      <c r="N31" s="30">
        <f t="shared" si="20"/>
        <v>0</v>
      </c>
      <c r="O31" s="28">
        <v>6</v>
      </c>
      <c r="P31" s="29">
        <f t="shared" si="21"/>
        <v>39</v>
      </c>
      <c r="Q31" s="30">
        <f t="shared" si="22"/>
        <v>234</v>
      </c>
      <c r="R31" s="31">
        <f t="shared" si="23"/>
        <v>6</v>
      </c>
      <c r="S31" s="32">
        <f t="shared" si="24"/>
        <v>234</v>
      </c>
      <c r="T31" s="33" t="str">
        <f t="shared" si="25"/>
        <v/>
      </c>
    </row>
    <row r="32" spans="2:20" s="34" customFormat="1" x14ac:dyDescent="0.3">
      <c r="B32" s="14" t="s">
        <v>124</v>
      </c>
      <c r="C32" s="19" t="s">
        <v>31</v>
      </c>
      <c r="D32" s="42" t="str">
        <f t="shared" si="13"/>
        <v>Zelena Lista Srbije</v>
      </c>
      <c r="E32" s="42" t="str">
        <f t="shared" si="14"/>
        <v>Serbia</v>
      </c>
      <c r="F32" s="28">
        <v>3</v>
      </c>
      <c r="G32" s="29">
        <f t="shared" si="15"/>
        <v>88</v>
      </c>
      <c r="H32" s="30">
        <f t="shared" si="16"/>
        <v>264</v>
      </c>
      <c r="I32" s="28">
        <v>6</v>
      </c>
      <c r="J32" s="29">
        <f t="shared" si="17"/>
        <v>74</v>
      </c>
      <c r="K32" s="30">
        <f t="shared" si="18"/>
        <v>444</v>
      </c>
      <c r="L32" s="28">
        <v>0</v>
      </c>
      <c r="M32" s="29">
        <f t="shared" si="19"/>
        <v>55</v>
      </c>
      <c r="N32" s="30">
        <f t="shared" si="20"/>
        <v>0</v>
      </c>
      <c r="O32" s="28">
        <v>0</v>
      </c>
      <c r="P32" s="29">
        <f t="shared" si="21"/>
        <v>39</v>
      </c>
      <c r="Q32" s="30">
        <f t="shared" si="22"/>
        <v>0</v>
      </c>
      <c r="R32" s="31">
        <f t="shared" si="23"/>
        <v>9</v>
      </c>
      <c r="S32" s="32">
        <f t="shared" si="24"/>
        <v>708</v>
      </c>
      <c r="T32" s="33" t="str">
        <f t="shared" si="25"/>
        <v/>
      </c>
    </row>
    <row r="33" spans="2:20" s="34" customFormat="1" x14ac:dyDescent="0.3">
      <c r="B33" s="14" t="s">
        <v>124</v>
      </c>
      <c r="C33" s="19" t="s">
        <v>57</v>
      </c>
      <c r="D33" s="42" t="str">
        <f t="shared" si="13"/>
        <v xml:space="preserve">Zeleni Kljuc </v>
      </c>
      <c r="E33" s="42" t="str">
        <f t="shared" si="14"/>
        <v>Serbia</v>
      </c>
      <c r="F33" s="28">
        <v>0</v>
      </c>
      <c r="G33" s="29">
        <f t="shared" si="15"/>
        <v>88</v>
      </c>
      <c r="H33" s="30">
        <f t="shared" si="16"/>
        <v>0</v>
      </c>
      <c r="I33" s="28">
        <v>6</v>
      </c>
      <c r="J33" s="29">
        <f t="shared" si="17"/>
        <v>74</v>
      </c>
      <c r="K33" s="30">
        <f t="shared" si="18"/>
        <v>444</v>
      </c>
      <c r="L33" s="28">
        <v>0</v>
      </c>
      <c r="M33" s="29">
        <f t="shared" si="19"/>
        <v>55</v>
      </c>
      <c r="N33" s="30">
        <f t="shared" si="20"/>
        <v>0</v>
      </c>
      <c r="O33" s="28">
        <v>0</v>
      </c>
      <c r="P33" s="29">
        <f t="shared" si="21"/>
        <v>39</v>
      </c>
      <c r="Q33" s="30">
        <f t="shared" si="22"/>
        <v>0</v>
      </c>
      <c r="R33" s="31">
        <f t="shared" si="23"/>
        <v>6</v>
      </c>
      <c r="S33" s="32">
        <f t="shared" si="24"/>
        <v>444</v>
      </c>
      <c r="T33" s="33" t="str">
        <f t="shared" si="25"/>
        <v/>
      </c>
    </row>
    <row r="34" spans="2:20" s="34" customFormat="1" x14ac:dyDescent="0.3">
      <c r="B34" s="14" t="s">
        <v>124</v>
      </c>
      <c r="C34" s="19" t="s">
        <v>33</v>
      </c>
      <c r="D34" s="42" t="str">
        <f t="shared" si="13"/>
        <v xml:space="preserve">TURMEPA </v>
      </c>
      <c r="E34" s="42" t="str">
        <f t="shared" si="14"/>
        <v>Turkey</v>
      </c>
      <c r="F34" s="28">
        <v>0</v>
      </c>
      <c r="G34" s="29">
        <f t="shared" si="15"/>
        <v>88</v>
      </c>
      <c r="H34" s="30">
        <f t="shared" si="16"/>
        <v>0</v>
      </c>
      <c r="I34" s="28">
        <v>0</v>
      </c>
      <c r="J34" s="29">
        <f t="shared" si="17"/>
        <v>74</v>
      </c>
      <c r="K34" s="30">
        <f t="shared" si="18"/>
        <v>0</v>
      </c>
      <c r="L34" s="28">
        <v>0</v>
      </c>
      <c r="M34" s="29">
        <f t="shared" si="19"/>
        <v>55</v>
      </c>
      <c r="N34" s="30">
        <f t="shared" si="20"/>
        <v>0</v>
      </c>
      <c r="O34" s="28">
        <v>6</v>
      </c>
      <c r="P34" s="29">
        <f t="shared" si="21"/>
        <v>39</v>
      </c>
      <c r="Q34" s="30">
        <f t="shared" si="22"/>
        <v>234</v>
      </c>
      <c r="R34" s="31">
        <f t="shared" si="23"/>
        <v>6</v>
      </c>
      <c r="S34" s="32">
        <f t="shared" si="24"/>
        <v>234</v>
      </c>
      <c r="T34" s="33" t="str">
        <f t="shared" si="25"/>
        <v/>
      </c>
    </row>
    <row r="35" spans="2:20" s="34" customFormat="1" x14ac:dyDescent="0.3">
      <c r="B35" s="14" t="s">
        <v>124</v>
      </c>
      <c r="C35" s="19" t="s">
        <v>36</v>
      </c>
      <c r="D35" s="42" t="str">
        <f t="shared" si="13"/>
        <v>Ozon</v>
      </c>
      <c r="E35" s="42" t="str">
        <f t="shared" si="14"/>
        <v>Montenegro</v>
      </c>
      <c r="F35" s="28">
        <v>0</v>
      </c>
      <c r="G35" s="29">
        <f t="shared" si="15"/>
        <v>108</v>
      </c>
      <c r="H35" s="30">
        <f t="shared" si="16"/>
        <v>0</v>
      </c>
      <c r="I35" s="28">
        <v>0</v>
      </c>
      <c r="J35" s="29">
        <f t="shared" si="17"/>
        <v>80</v>
      </c>
      <c r="K35" s="30">
        <f t="shared" si="18"/>
        <v>0</v>
      </c>
      <c r="L35" s="28">
        <v>0</v>
      </c>
      <c r="M35" s="29">
        <f t="shared" si="19"/>
        <v>57</v>
      </c>
      <c r="N35" s="30">
        <f t="shared" si="20"/>
        <v>0</v>
      </c>
      <c r="O35" s="28">
        <v>6</v>
      </c>
      <c r="P35" s="29">
        <f t="shared" si="21"/>
        <v>45</v>
      </c>
      <c r="Q35" s="30">
        <f t="shared" si="22"/>
        <v>270</v>
      </c>
      <c r="R35" s="31">
        <f t="shared" si="23"/>
        <v>6</v>
      </c>
      <c r="S35" s="32">
        <f t="shared" si="24"/>
        <v>270</v>
      </c>
      <c r="T35" s="33" t="str">
        <f t="shared" si="25"/>
        <v/>
      </c>
    </row>
    <row r="36" spans="2:20" s="34" customFormat="1" x14ac:dyDescent="0.3">
      <c r="B36" s="14" t="s">
        <v>124</v>
      </c>
      <c r="C36" s="19" t="s">
        <v>41</v>
      </c>
      <c r="D36" s="42" t="str">
        <f t="shared" si="13"/>
        <v xml:space="preserve">Udruga Eko </v>
      </c>
      <c r="E36" s="42" t="str">
        <f t="shared" si="14"/>
        <v>Croatia</v>
      </c>
      <c r="F36" s="28">
        <v>0</v>
      </c>
      <c r="G36" s="29">
        <f t="shared" si="15"/>
        <v>88</v>
      </c>
      <c r="H36" s="30">
        <f t="shared" si="16"/>
        <v>0</v>
      </c>
      <c r="I36" s="28">
        <v>0</v>
      </c>
      <c r="J36" s="29">
        <f t="shared" si="17"/>
        <v>74</v>
      </c>
      <c r="K36" s="30">
        <f t="shared" si="18"/>
        <v>0</v>
      </c>
      <c r="L36" s="28">
        <v>0</v>
      </c>
      <c r="M36" s="29">
        <f t="shared" si="19"/>
        <v>55</v>
      </c>
      <c r="N36" s="30">
        <f t="shared" si="20"/>
        <v>0</v>
      </c>
      <c r="O36" s="28">
        <v>6</v>
      </c>
      <c r="P36" s="29">
        <f t="shared" si="21"/>
        <v>39</v>
      </c>
      <c r="Q36" s="30">
        <f t="shared" si="22"/>
        <v>234</v>
      </c>
      <c r="R36" s="31">
        <f t="shared" si="23"/>
        <v>6</v>
      </c>
      <c r="S36" s="32">
        <f t="shared" si="24"/>
        <v>234</v>
      </c>
      <c r="T36" s="33" t="str">
        <f t="shared" si="25"/>
        <v/>
      </c>
    </row>
    <row r="37" spans="2:20" s="34" customFormat="1" x14ac:dyDescent="0.3">
      <c r="B37" s="14" t="s">
        <v>124</v>
      </c>
      <c r="C37" s="19" t="s">
        <v>51</v>
      </c>
      <c r="D37" s="42" t="str">
        <f t="shared" si="13"/>
        <v xml:space="preserve">BUND </v>
      </c>
      <c r="E37" s="42" t="str">
        <f t="shared" si="14"/>
        <v>Germany</v>
      </c>
      <c r="F37" s="28">
        <v>49</v>
      </c>
      <c r="G37" s="29">
        <f t="shared" si="15"/>
        <v>280</v>
      </c>
      <c r="H37" s="30">
        <f t="shared" si="16"/>
        <v>13720</v>
      </c>
      <c r="I37" s="28">
        <v>0</v>
      </c>
      <c r="J37" s="29">
        <f t="shared" si="17"/>
        <v>214</v>
      </c>
      <c r="K37" s="30">
        <f t="shared" si="18"/>
        <v>0</v>
      </c>
      <c r="L37" s="28">
        <v>21</v>
      </c>
      <c r="M37" s="29">
        <f t="shared" si="19"/>
        <v>162</v>
      </c>
      <c r="N37" s="30">
        <f t="shared" si="20"/>
        <v>3402</v>
      </c>
      <c r="O37" s="28">
        <v>55</v>
      </c>
      <c r="P37" s="29">
        <f t="shared" si="21"/>
        <v>131</v>
      </c>
      <c r="Q37" s="30">
        <f t="shared" si="22"/>
        <v>7205</v>
      </c>
      <c r="R37" s="31">
        <f t="shared" si="23"/>
        <v>125</v>
      </c>
      <c r="S37" s="32">
        <f t="shared" si="24"/>
        <v>24327</v>
      </c>
      <c r="T37" s="33" t="str">
        <f t="shared" si="25"/>
        <v/>
      </c>
    </row>
    <row r="38" spans="2:20" s="34" customFormat="1" x14ac:dyDescent="0.3">
      <c r="B38" s="14" t="s">
        <v>124</v>
      </c>
      <c r="C38" s="19" t="s">
        <v>62</v>
      </c>
      <c r="D38" s="42" t="str">
        <f t="shared" si="13"/>
        <v>Ministarstvo zaštite životne sredine</v>
      </c>
      <c r="E38" s="42" t="str">
        <f t="shared" si="14"/>
        <v>Serbia</v>
      </c>
      <c r="F38" s="28">
        <v>0</v>
      </c>
      <c r="G38" s="29">
        <f t="shared" si="15"/>
        <v>88</v>
      </c>
      <c r="H38" s="30">
        <f t="shared" si="16"/>
        <v>0</v>
      </c>
      <c r="I38" s="28">
        <v>0</v>
      </c>
      <c r="J38" s="29">
        <f t="shared" si="17"/>
        <v>74</v>
      </c>
      <c r="K38" s="30">
        <f t="shared" si="18"/>
        <v>0</v>
      </c>
      <c r="L38" s="28">
        <v>0</v>
      </c>
      <c r="M38" s="29">
        <f t="shared" si="19"/>
        <v>55</v>
      </c>
      <c r="N38" s="30">
        <f t="shared" si="20"/>
        <v>0</v>
      </c>
      <c r="O38" s="28">
        <v>6</v>
      </c>
      <c r="P38" s="29">
        <f t="shared" si="21"/>
        <v>39</v>
      </c>
      <c r="Q38" s="30">
        <f t="shared" si="22"/>
        <v>234</v>
      </c>
      <c r="R38" s="31">
        <f t="shared" si="23"/>
        <v>6</v>
      </c>
      <c r="S38" s="32">
        <f t="shared" si="24"/>
        <v>234</v>
      </c>
      <c r="T38" s="33" t="str">
        <f t="shared" si="25"/>
        <v/>
      </c>
    </row>
    <row r="39" spans="2:20" s="34" customFormat="1" x14ac:dyDescent="0.3">
      <c r="B39" s="14" t="s">
        <v>125</v>
      </c>
      <c r="C39" s="19" t="s">
        <v>41</v>
      </c>
      <c r="D39" s="42" t="str">
        <f t="shared" si="13"/>
        <v xml:space="preserve">Udruga Eko </v>
      </c>
      <c r="E39" s="42" t="str">
        <f t="shared" si="14"/>
        <v>Croatia</v>
      </c>
      <c r="F39" s="28">
        <v>90</v>
      </c>
      <c r="G39" s="29">
        <f t="shared" si="15"/>
        <v>88</v>
      </c>
      <c r="H39" s="30">
        <f t="shared" si="16"/>
        <v>7920</v>
      </c>
      <c r="I39" s="28">
        <v>0</v>
      </c>
      <c r="J39" s="29">
        <f t="shared" si="17"/>
        <v>74</v>
      </c>
      <c r="K39" s="30">
        <f t="shared" si="18"/>
        <v>0</v>
      </c>
      <c r="L39" s="28">
        <v>0</v>
      </c>
      <c r="M39" s="29">
        <f t="shared" si="19"/>
        <v>55</v>
      </c>
      <c r="N39" s="30">
        <f t="shared" si="20"/>
        <v>0</v>
      </c>
      <c r="O39" s="28">
        <v>0</v>
      </c>
      <c r="P39" s="29">
        <f t="shared" si="21"/>
        <v>39</v>
      </c>
      <c r="Q39" s="30">
        <f t="shared" si="22"/>
        <v>0</v>
      </c>
      <c r="R39" s="31">
        <f t="shared" si="23"/>
        <v>90</v>
      </c>
      <c r="S39" s="32">
        <f t="shared" si="24"/>
        <v>7920</v>
      </c>
      <c r="T39" s="33" t="str">
        <f t="shared" si="25"/>
        <v/>
      </c>
    </row>
    <row r="40" spans="2:20" s="34" customFormat="1" x14ac:dyDescent="0.3">
      <c r="B40" s="14" t="s">
        <v>125</v>
      </c>
      <c r="C40" s="19" t="s">
        <v>44</v>
      </c>
      <c r="D40" s="42" t="str">
        <f t="shared" si="13"/>
        <v>Eko Drustvo Duboko</v>
      </c>
      <c r="E40" s="42" t="str">
        <f t="shared" si="14"/>
        <v>Serbia</v>
      </c>
      <c r="F40" s="28">
        <v>90</v>
      </c>
      <c r="G40" s="29">
        <f t="shared" si="15"/>
        <v>88</v>
      </c>
      <c r="H40" s="30">
        <f t="shared" si="16"/>
        <v>7920</v>
      </c>
      <c r="I40" s="28">
        <v>0</v>
      </c>
      <c r="J40" s="29">
        <f t="shared" si="17"/>
        <v>74</v>
      </c>
      <c r="K40" s="30">
        <f t="shared" si="18"/>
        <v>0</v>
      </c>
      <c r="L40" s="28">
        <v>0</v>
      </c>
      <c r="M40" s="29">
        <f t="shared" si="19"/>
        <v>55</v>
      </c>
      <c r="N40" s="30">
        <f t="shared" si="20"/>
        <v>0</v>
      </c>
      <c r="O40" s="28">
        <v>0</v>
      </c>
      <c r="P40" s="29">
        <f t="shared" si="21"/>
        <v>39</v>
      </c>
      <c r="Q40" s="30">
        <f t="shared" si="22"/>
        <v>0</v>
      </c>
      <c r="R40" s="31">
        <f t="shared" si="23"/>
        <v>90</v>
      </c>
      <c r="S40" s="32">
        <f t="shared" si="24"/>
        <v>7920</v>
      </c>
      <c r="T40" s="33" t="str">
        <f t="shared" si="25"/>
        <v/>
      </c>
    </row>
    <row r="41" spans="2:20" s="34" customFormat="1" x14ac:dyDescent="0.3">
      <c r="B41" s="14" t="s">
        <v>125</v>
      </c>
      <c r="C41" s="19" t="s">
        <v>46</v>
      </c>
      <c r="D41" s="42" t="str">
        <f t="shared" si="13"/>
        <v>Eko Albanija</v>
      </c>
      <c r="E41" s="42" t="str">
        <f t="shared" si="14"/>
        <v>Albania</v>
      </c>
      <c r="F41" s="28">
        <v>90</v>
      </c>
      <c r="G41" s="29">
        <f t="shared" si="15"/>
        <v>108</v>
      </c>
      <c r="H41" s="30">
        <f t="shared" si="16"/>
        <v>9720</v>
      </c>
      <c r="I41" s="28">
        <v>0</v>
      </c>
      <c r="J41" s="29">
        <f t="shared" si="17"/>
        <v>80</v>
      </c>
      <c r="K41" s="30">
        <f t="shared" si="18"/>
        <v>0</v>
      </c>
      <c r="L41" s="28">
        <v>0</v>
      </c>
      <c r="M41" s="29">
        <f t="shared" si="19"/>
        <v>57</v>
      </c>
      <c r="N41" s="30">
        <f t="shared" si="20"/>
        <v>0</v>
      </c>
      <c r="O41" s="28">
        <v>0</v>
      </c>
      <c r="P41" s="29">
        <f t="shared" si="21"/>
        <v>45</v>
      </c>
      <c r="Q41" s="30">
        <f t="shared" si="22"/>
        <v>0</v>
      </c>
      <c r="R41" s="31">
        <f t="shared" si="23"/>
        <v>90</v>
      </c>
      <c r="S41" s="32">
        <f t="shared" si="24"/>
        <v>9720</v>
      </c>
      <c r="T41" s="33" t="str">
        <f t="shared" si="25"/>
        <v/>
      </c>
    </row>
    <row r="42" spans="2:20" s="34" customFormat="1" x14ac:dyDescent="0.3">
      <c r="B42" s="14" t="s">
        <v>125</v>
      </c>
      <c r="C42" s="19" t="s">
        <v>59</v>
      </c>
      <c r="D42" s="42" t="str">
        <f t="shared" si="13"/>
        <v>Arcturos</v>
      </c>
      <c r="E42" s="42" t="str">
        <f t="shared" si="14"/>
        <v>Greece</v>
      </c>
      <c r="F42" s="28">
        <v>97</v>
      </c>
      <c r="G42" s="29">
        <f t="shared" si="15"/>
        <v>164</v>
      </c>
      <c r="H42" s="30">
        <f t="shared" si="16"/>
        <v>15908</v>
      </c>
      <c r="I42" s="28">
        <v>54</v>
      </c>
      <c r="J42" s="29">
        <f t="shared" si="17"/>
        <v>137</v>
      </c>
      <c r="K42" s="30">
        <f t="shared" si="18"/>
        <v>7398</v>
      </c>
      <c r="L42" s="28">
        <v>0</v>
      </c>
      <c r="M42" s="29">
        <f t="shared" si="19"/>
        <v>102</v>
      </c>
      <c r="N42" s="30">
        <f t="shared" si="20"/>
        <v>0</v>
      </c>
      <c r="O42" s="28">
        <v>0</v>
      </c>
      <c r="P42" s="29">
        <f t="shared" si="21"/>
        <v>78</v>
      </c>
      <c r="Q42" s="30">
        <f t="shared" si="22"/>
        <v>0</v>
      </c>
      <c r="R42" s="31">
        <f t="shared" si="23"/>
        <v>151</v>
      </c>
      <c r="S42" s="32">
        <f t="shared" si="24"/>
        <v>23306</v>
      </c>
      <c r="T42" s="33" t="str">
        <f t="shared" si="25"/>
        <v/>
      </c>
    </row>
    <row r="43" spans="2:20" s="34" customFormat="1" x14ac:dyDescent="0.3">
      <c r="B43" s="14" t="s">
        <v>125</v>
      </c>
      <c r="C43" s="19" t="s">
        <v>54</v>
      </c>
      <c r="D43" s="42" t="str">
        <f t="shared" si="13"/>
        <v>BES</v>
      </c>
      <c r="E43" s="42" t="str">
        <f t="shared" si="14"/>
        <v>Bulgaria</v>
      </c>
      <c r="F43" s="28">
        <v>90</v>
      </c>
      <c r="G43" s="29">
        <f t="shared" si="15"/>
        <v>88</v>
      </c>
      <c r="H43" s="30">
        <f t="shared" si="16"/>
        <v>7920</v>
      </c>
      <c r="I43" s="28">
        <v>0</v>
      </c>
      <c r="J43" s="29">
        <f t="shared" si="17"/>
        <v>74</v>
      </c>
      <c r="K43" s="30">
        <f t="shared" si="18"/>
        <v>0</v>
      </c>
      <c r="L43" s="28">
        <v>0</v>
      </c>
      <c r="M43" s="29">
        <f t="shared" si="19"/>
        <v>55</v>
      </c>
      <c r="N43" s="30">
        <f t="shared" si="20"/>
        <v>0</v>
      </c>
      <c r="O43" s="28">
        <v>0</v>
      </c>
      <c r="P43" s="29">
        <f t="shared" si="21"/>
        <v>39</v>
      </c>
      <c r="Q43" s="30">
        <f t="shared" si="22"/>
        <v>0</v>
      </c>
      <c r="R43" s="31">
        <f t="shared" si="23"/>
        <v>90</v>
      </c>
      <c r="S43" s="32">
        <f t="shared" si="24"/>
        <v>7920</v>
      </c>
      <c r="T43" s="33" t="str">
        <f t="shared" si="25"/>
        <v/>
      </c>
    </row>
    <row r="44" spans="2:20" s="34" customFormat="1" x14ac:dyDescent="0.3">
      <c r="B44" s="14" t="s">
        <v>125</v>
      </c>
      <c r="C44" s="19" t="s">
        <v>49</v>
      </c>
      <c r="D44" s="42" t="str">
        <f t="shared" si="13"/>
        <v>Ekoloski Pokret Ibar</v>
      </c>
      <c r="E44" s="42" t="str">
        <f t="shared" si="14"/>
        <v>Serbia</v>
      </c>
      <c r="F44" s="28">
        <v>90</v>
      </c>
      <c r="G44" s="29">
        <f t="shared" si="15"/>
        <v>88</v>
      </c>
      <c r="H44" s="30">
        <f t="shared" si="16"/>
        <v>7920</v>
      </c>
      <c r="I44" s="28">
        <v>0</v>
      </c>
      <c r="J44" s="29">
        <f t="shared" si="17"/>
        <v>74</v>
      </c>
      <c r="K44" s="30">
        <f t="shared" si="18"/>
        <v>0</v>
      </c>
      <c r="L44" s="28">
        <v>0</v>
      </c>
      <c r="M44" s="29">
        <f t="shared" si="19"/>
        <v>55</v>
      </c>
      <c r="N44" s="30">
        <f t="shared" si="20"/>
        <v>0</v>
      </c>
      <c r="O44" s="28">
        <v>0</v>
      </c>
      <c r="P44" s="29">
        <f t="shared" si="21"/>
        <v>39</v>
      </c>
      <c r="Q44" s="30">
        <f t="shared" si="22"/>
        <v>0</v>
      </c>
      <c r="R44" s="31">
        <f t="shared" si="23"/>
        <v>90</v>
      </c>
      <c r="S44" s="32">
        <f t="shared" si="24"/>
        <v>7920</v>
      </c>
      <c r="T44" s="33" t="str">
        <f t="shared" si="25"/>
        <v/>
      </c>
    </row>
    <row r="45" spans="2:20" s="34" customFormat="1" x14ac:dyDescent="0.3">
      <c r="B45" s="14" t="s">
        <v>125</v>
      </c>
      <c r="C45" s="19" t="s">
        <v>31</v>
      </c>
      <c r="D45" s="42" t="str">
        <f t="shared" si="13"/>
        <v>Zelena Lista Srbije</v>
      </c>
      <c r="E45" s="42" t="str">
        <f t="shared" si="14"/>
        <v>Serbia</v>
      </c>
      <c r="F45" s="28">
        <v>90</v>
      </c>
      <c r="G45" s="29">
        <f t="shared" si="15"/>
        <v>88</v>
      </c>
      <c r="H45" s="30">
        <f t="shared" si="16"/>
        <v>7920</v>
      </c>
      <c r="I45" s="28">
        <v>0</v>
      </c>
      <c r="J45" s="29">
        <f t="shared" si="17"/>
        <v>74</v>
      </c>
      <c r="K45" s="30">
        <f t="shared" si="18"/>
        <v>0</v>
      </c>
      <c r="L45" s="28">
        <v>0</v>
      </c>
      <c r="M45" s="29">
        <f t="shared" si="19"/>
        <v>55</v>
      </c>
      <c r="N45" s="30">
        <f t="shared" si="20"/>
        <v>0</v>
      </c>
      <c r="O45" s="28">
        <v>0</v>
      </c>
      <c r="P45" s="29">
        <f t="shared" si="21"/>
        <v>39</v>
      </c>
      <c r="Q45" s="30">
        <f t="shared" si="22"/>
        <v>0</v>
      </c>
      <c r="R45" s="31">
        <f t="shared" si="23"/>
        <v>90</v>
      </c>
      <c r="S45" s="32">
        <f t="shared" si="24"/>
        <v>7920</v>
      </c>
      <c r="T45" s="33" t="str">
        <f t="shared" si="25"/>
        <v/>
      </c>
    </row>
    <row r="46" spans="2:20" s="34" customFormat="1" x14ac:dyDescent="0.3">
      <c r="B46" s="14" t="s">
        <v>125</v>
      </c>
      <c r="C46" s="19" t="s">
        <v>57</v>
      </c>
      <c r="D46" s="42" t="str">
        <f t="shared" si="13"/>
        <v xml:space="preserve">Zeleni Kljuc </v>
      </c>
      <c r="E46" s="42" t="str">
        <f t="shared" si="14"/>
        <v>Serbia</v>
      </c>
      <c r="F46" s="28">
        <v>90</v>
      </c>
      <c r="G46" s="29">
        <f t="shared" si="15"/>
        <v>88</v>
      </c>
      <c r="H46" s="30">
        <f t="shared" si="16"/>
        <v>7920</v>
      </c>
      <c r="I46" s="28">
        <v>0</v>
      </c>
      <c r="J46" s="29">
        <f t="shared" si="17"/>
        <v>74</v>
      </c>
      <c r="K46" s="30">
        <f t="shared" si="18"/>
        <v>0</v>
      </c>
      <c r="L46" s="28">
        <v>0</v>
      </c>
      <c r="M46" s="29">
        <f t="shared" si="19"/>
        <v>55</v>
      </c>
      <c r="N46" s="30">
        <f t="shared" si="20"/>
        <v>0</v>
      </c>
      <c r="O46" s="28">
        <v>0</v>
      </c>
      <c r="P46" s="29">
        <f t="shared" si="21"/>
        <v>39</v>
      </c>
      <c r="Q46" s="30">
        <f t="shared" si="22"/>
        <v>0</v>
      </c>
      <c r="R46" s="31">
        <f t="shared" si="23"/>
        <v>90</v>
      </c>
      <c r="S46" s="32">
        <f t="shared" si="24"/>
        <v>7920</v>
      </c>
      <c r="T46" s="33" t="str">
        <f t="shared" si="25"/>
        <v/>
      </c>
    </row>
    <row r="47" spans="2:20" s="34" customFormat="1" x14ac:dyDescent="0.3">
      <c r="B47" s="14" t="s">
        <v>125</v>
      </c>
      <c r="C47" s="19" t="s">
        <v>33</v>
      </c>
      <c r="D47" s="42" t="str">
        <f t="shared" si="13"/>
        <v xml:space="preserve">TURMEPA </v>
      </c>
      <c r="E47" s="42" t="str">
        <f t="shared" si="14"/>
        <v>Turkey</v>
      </c>
      <c r="F47" s="28">
        <v>90</v>
      </c>
      <c r="G47" s="29">
        <f t="shared" si="15"/>
        <v>88</v>
      </c>
      <c r="H47" s="30">
        <f t="shared" si="16"/>
        <v>7920</v>
      </c>
      <c r="I47" s="28">
        <v>0</v>
      </c>
      <c r="J47" s="29">
        <f t="shared" si="17"/>
        <v>74</v>
      </c>
      <c r="K47" s="30">
        <f t="shared" si="18"/>
        <v>0</v>
      </c>
      <c r="L47" s="28">
        <v>0</v>
      </c>
      <c r="M47" s="29">
        <f t="shared" si="19"/>
        <v>55</v>
      </c>
      <c r="N47" s="30">
        <f t="shared" si="20"/>
        <v>0</v>
      </c>
      <c r="O47" s="28">
        <v>0</v>
      </c>
      <c r="P47" s="29">
        <f t="shared" si="21"/>
        <v>39</v>
      </c>
      <c r="Q47" s="30">
        <f t="shared" si="22"/>
        <v>0</v>
      </c>
      <c r="R47" s="31">
        <f t="shared" si="23"/>
        <v>90</v>
      </c>
      <c r="S47" s="32">
        <f t="shared" si="24"/>
        <v>7920</v>
      </c>
      <c r="T47" s="33" t="str">
        <f t="shared" si="25"/>
        <v/>
      </c>
    </row>
    <row r="48" spans="2:20" s="34" customFormat="1" x14ac:dyDescent="0.3">
      <c r="B48" s="14" t="s">
        <v>125</v>
      </c>
      <c r="C48" s="19" t="s">
        <v>28</v>
      </c>
      <c r="D48" s="42" t="str">
        <f t="shared" si="13"/>
        <v>TeamChatGPT</v>
      </c>
      <c r="E48" s="42" t="str">
        <f t="shared" si="14"/>
        <v>Serbia</v>
      </c>
      <c r="F48" s="28">
        <v>90</v>
      </c>
      <c r="G48" s="29">
        <f t="shared" si="15"/>
        <v>88</v>
      </c>
      <c r="H48" s="30">
        <f t="shared" si="16"/>
        <v>7920</v>
      </c>
      <c r="I48" s="28">
        <v>0</v>
      </c>
      <c r="J48" s="29">
        <f t="shared" si="17"/>
        <v>74</v>
      </c>
      <c r="K48" s="30">
        <f t="shared" si="18"/>
        <v>0</v>
      </c>
      <c r="L48" s="28">
        <v>0</v>
      </c>
      <c r="M48" s="29">
        <f t="shared" si="19"/>
        <v>55</v>
      </c>
      <c r="N48" s="30">
        <f t="shared" si="20"/>
        <v>0</v>
      </c>
      <c r="O48" s="28">
        <v>0</v>
      </c>
      <c r="P48" s="29">
        <f t="shared" si="21"/>
        <v>39</v>
      </c>
      <c r="Q48" s="30">
        <f t="shared" si="22"/>
        <v>0</v>
      </c>
      <c r="R48" s="31">
        <f t="shared" si="23"/>
        <v>90</v>
      </c>
      <c r="S48" s="32">
        <f t="shared" si="24"/>
        <v>7920</v>
      </c>
      <c r="T48" s="33" t="str">
        <f t="shared" si="25"/>
        <v/>
      </c>
    </row>
    <row r="49" spans="2:20" s="34" customFormat="1" x14ac:dyDescent="0.3">
      <c r="B49" s="14" t="s">
        <v>125</v>
      </c>
      <c r="C49" s="19" t="s">
        <v>39</v>
      </c>
      <c r="D49" s="42" t="str">
        <f t="shared" si="13"/>
        <v>Eko Centar Srbija</v>
      </c>
      <c r="E49" s="42" t="str">
        <f t="shared" si="14"/>
        <v>Serbia</v>
      </c>
      <c r="F49" s="28">
        <v>90</v>
      </c>
      <c r="G49" s="29">
        <f t="shared" si="15"/>
        <v>88</v>
      </c>
      <c r="H49" s="30">
        <f t="shared" si="16"/>
        <v>7920</v>
      </c>
      <c r="I49" s="28">
        <v>0</v>
      </c>
      <c r="J49" s="29">
        <f t="shared" si="17"/>
        <v>74</v>
      </c>
      <c r="K49" s="30">
        <f t="shared" si="18"/>
        <v>0</v>
      </c>
      <c r="L49" s="28">
        <v>0</v>
      </c>
      <c r="M49" s="29">
        <f t="shared" si="19"/>
        <v>55</v>
      </c>
      <c r="N49" s="30">
        <f t="shared" si="20"/>
        <v>0</v>
      </c>
      <c r="O49" s="28">
        <v>0</v>
      </c>
      <c r="P49" s="29">
        <f t="shared" si="21"/>
        <v>39</v>
      </c>
      <c r="Q49" s="30">
        <f t="shared" si="22"/>
        <v>0</v>
      </c>
      <c r="R49" s="31">
        <f t="shared" si="23"/>
        <v>90</v>
      </c>
      <c r="S49" s="32">
        <f t="shared" si="24"/>
        <v>7920</v>
      </c>
      <c r="T49" s="33" t="str">
        <f t="shared" si="25"/>
        <v/>
      </c>
    </row>
    <row r="50" spans="2:20" s="34" customFormat="1" x14ac:dyDescent="0.3">
      <c r="B50" s="14" t="s">
        <v>125</v>
      </c>
      <c r="C50" s="19" t="s">
        <v>62</v>
      </c>
      <c r="D50" s="42" t="str">
        <f t="shared" si="13"/>
        <v>Ministarstvo zaštite životne sredine</v>
      </c>
      <c r="E50" s="42" t="str">
        <f t="shared" si="14"/>
        <v>Serbia</v>
      </c>
      <c r="F50" s="28">
        <v>0</v>
      </c>
      <c r="G50" s="29">
        <f t="shared" si="15"/>
        <v>88</v>
      </c>
      <c r="H50" s="30">
        <f t="shared" si="16"/>
        <v>0</v>
      </c>
      <c r="I50" s="28">
        <v>0</v>
      </c>
      <c r="J50" s="29">
        <f t="shared" si="17"/>
        <v>74</v>
      </c>
      <c r="K50" s="30">
        <f t="shared" si="18"/>
        <v>0</v>
      </c>
      <c r="L50" s="28">
        <v>0</v>
      </c>
      <c r="M50" s="29">
        <f t="shared" si="19"/>
        <v>55</v>
      </c>
      <c r="N50" s="30">
        <f t="shared" si="20"/>
        <v>0</v>
      </c>
      <c r="O50" s="28">
        <v>6</v>
      </c>
      <c r="P50" s="29">
        <f t="shared" si="21"/>
        <v>39</v>
      </c>
      <c r="Q50" s="30">
        <f t="shared" si="22"/>
        <v>234</v>
      </c>
      <c r="R50" s="31">
        <f t="shared" si="23"/>
        <v>6</v>
      </c>
      <c r="S50" s="32">
        <f t="shared" si="24"/>
        <v>234</v>
      </c>
      <c r="T50" s="33" t="str">
        <f t="shared" si="25"/>
        <v/>
      </c>
    </row>
    <row r="51" spans="2:20" s="34" customFormat="1" x14ac:dyDescent="0.3">
      <c r="B51" s="14" t="s">
        <v>126</v>
      </c>
      <c r="C51" s="19" t="s">
        <v>28</v>
      </c>
      <c r="D51" s="42" t="str">
        <f t="shared" si="13"/>
        <v>TeamChatGPT</v>
      </c>
      <c r="E51" s="42" t="str">
        <f t="shared" si="14"/>
        <v>Serbia</v>
      </c>
      <c r="F51" s="28">
        <v>0</v>
      </c>
      <c r="G51" s="29">
        <f t="shared" si="15"/>
        <v>88</v>
      </c>
      <c r="H51" s="30">
        <f t="shared" si="16"/>
        <v>0</v>
      </c>
      <c r="I51" s="28">
        <v>0</v>
      </c>
      <c r="J51" s="29">
        <f t="shared" si="17"/>
        <v>74</v>
      </c>
      <c r="K51" s="30">
        <f t="shared" si="18"/>
        <v>0</v>
      </c>
      <c r="L51" s="28">
        <v>0</v>
      </c>
      <c r="M51" s="29">
        <f t="shared" si="19"/>
        <v>55</v>
      </c>
      <c r="N51" s="30">
        <f t="shared" si="20"/>
        <v>0</v>
      </c>
      <c r="O51" s="28">
        <v>0</v>
      </c>
      <c r="P51" s="29">
        <f t="shared" si="21"/>
        <v>39</v>
      </c>
      <c r="Q51" s="30">
        <f t="shared" si="22"/>
        <v>0</v>
      </c>
      <c r="R51" s="31">
        <f t="shared" si="23"/>
        <v>0</v>
      </c>
      <c r="S51" s="32">
        <f t="shared" si="24"/>
        <v>0</v>
      </c>
      <c r="T51" s="33" t="str">
        <f t="shared" si="25"/>
        <v/>
      </c>
    </row>
    <row r="52" spans="2:20" s="34" customFormat="1" x14ac:dyDescent="0.3">
      <c r="B52" s="14" t="s">
        <v>126</v>
      </c>
      <c r="C52" s="19" t="s">
        <v>57</v>
      </c>
      <c r="D52" s="42" t="str">
        <f t="shared" si="13"/>
        <v xml:space="preserve">Zeleni Kljuc </v>
      </c>
      <c r="E52" s="42" t="str">
        <f t="shared" si="14"/>
        <v>Serbia</v>
      </c>
      <c r="F52" s="28">
        <v>0</v>
      </c>
      <c r="G52" s="29">
        <f t="shared" si="15"/>
        <v>88</v>
      </c>
      <c r="H52" s="30">
        <f t="shared" si="16"/>
        <v>0</v>
      </c>
      <c r="I52" s="28">
        <v>75</v>
      </c>
      <c r="J52" s="29">
        <f t="shared" si="17"/>
        <v>74</v>
      </c>
      <c r="K52" s="30">
        <f t="shared" si="18"/>
        <v>5550</v>
      </c>
      <c r="L52" s="28">
        <v>20</v>
      </c>
      <c r="M52" s="29">
        <f t="shared" si="19"/>
        <v>55</v>
      </c>
      <c r="N52" s="30">
        <f t="shared" si="20"/>
        <v>1100</v>
      </c>
      <c r="O52" s="28">
        <v>0</v>
      </c>
      <c r="P52" s="29">
        <f t="shared" si="21"/>
        <v>39</v>
      </c>
      <c r="Q52" s="30">
        <f t="shared" si="22"/>
        <v>0</v>
      </c>
      <c r="R52" s="31">
        <f t="shared" si="23"/>
        <v>95</v>
      </c>
      <c r="S52" s="32">
        <f t="shared" si="24"/>
        <v>6650</v>
      </c>
      <c r="T52" s="33" t="str">
        <f t="shared" si="25"/>
        <v/>
      </c>
    </row>
    <row r="53" spans="2:20" s="34" customFormat="1" x14ac:dyDescent="0.3">
      <c r="B53" s="14" t="s">
        <v>126</v>
      </c>
      <c r="C53" s="19" t="s">
        <v>62</v>
      </c>
      <c r="D53" s="42" t="str">
        <f t="shared" si="13"/>
        <v>Ministarstvo zaštite životne sredine</v>
      </c>
      <c r="E53" s="42" t="str">
        <f t="shared" si="14"/>
        <v>Serbia</v>
      </c>
      <c r="F53" s="28">
        <v>0</v>
      </c>
      <c r="G53" s="29">
        <f t="shared" si="15"/>
        <v>88</v>
      </c>
      <c r="H53" s="30">
        <f t="shared" si="16"/>
        <v>0</v>
      </c>
      <c r="I53" s="28">
        <v>0</v>
      </c>
      <c r="J53" s="29">
        <f t="shared" si="17"/>
        <v>74</v>
      </c>
      <c r="K53" s="30">
        <f t="shared" si="18"/>
        <v>0</v>
      </c>
      <c r="L53" s="28">
        <v>0</v>
      </c>
      <c r="M53" s="29">
        <f t="shared" si="19"/>
        <v>55</v>
      </c>
      <c r="N53" s="30">
        <f t="shared" si="20"/>
        <v>0</v>
      </c>
      <c r="O53" s="28">
        <v>0</v>
      </c>
      <c r="P53" s="29">
        <f t="shared" si="21"/>
        <v>39</v>
      </c>
      <c r="Q53" s="30">
        <f t="shared" si="22"/>
        <v>0</v>
      </c>
      <c r="R53" s="31">
        <f t="shared" si="23"/>
        <v>0</v>
      </c>
      <c r="S53" s="32">
        <f t="shared" si="24"/>
        <v>0</v>
      </c>
      <c r="T53" s="33" t="str">
        <f t="shared" si="25"/>
        <v/>
      </c>
    </row>
    <row r="54" spans="2:20" s="34" customFormat="1" x14ac:dyDescent="0.3">
      <c r="B54" s="14" t="s">
        <v>127</v>
      </c>
      <c r="C54" s="19" t="s">
        <v>41</v>
      </c>
      <c r="D54" s="42" t="str">
        <f t="shared" si="13"/>
        <v xml:space="preserve">Udruga Eko </v>
      </c>
      <c r="E54" s="42" t="str">
        <f t="shared" si="14"/>
        <v>Croatia</v>
      </c>
      <c r="F54" s="28">
        <v>20</v>
      </c>
      <c r="G54" s="29">
        <f t="shared" si="15"/>
        <v>88</v>
      </c>
      <c r="H54" s="30">
        <f t="shared" si="16"/>
        <v>1760</v>
      </c>
      <c r="I54" s="28">
        <v>0</v>
      </c>
      <c r="J54" s="29">
        <f t="shared" si="17"/>
        <v>74</v>
      </c>
      <c r="K54" s="30">
        <f t="shared" si="18"/>
        <v>0</v>
      </c>
      <c r="L54" s="28">
        <v>0</v>
      </c>
      <c r="M54" s="29">
        <f t="shared" si="19"/>
        <v>55</v>
      </c>
      <c r="N54" s="30">
        <f t="shared" si="20"/>
        <v>0</v>
      </c>
      <c r="O54" s="28">
        <v>0</v>
      </c>
      <c r="P54" s="29">
        <f t="shared" si="21"/>
        <v>39</v>
      </c>
      <c r="Q54" s="30">
        <f t="shared" si="22"/>
        <v>0</v>
      </c>
      <c r="R54" s="31">
        <f t="shared" si="23"/>
        <v>20</v>
      </c>
      <c r="S54" s="32">
        <f t="shared" si="24"/>
        <v>1760</v>
      </c>
      <c r="T54" s="33" t="str">
        <f t="shared" si="25"/>
        <v/>
      </c>
    </row>
    <row r="55" spans="2:20" s="34" customFormat="1" x14ac:dyDescent="0.3">
      <c r="B55" s="14" t="s">
        <v>127</v>
      </c>
      <c r="C55" s="19" t="s">
        <v>44</v>
      </c>
      <c r="D55" s="42" t="str">
        <f t="shared" si="13"/>
        <v>Eko Drustvo Duboko</v>
      </c>
      <c r="E55" s="42" t="str">
        <f t="shared" si="14"/>
        <v>Serbia</v>
      </c>
      <c r="F55" s="28">
        <v>20</v>
      </c>
      <c r="G55" s="29">
        <f t="shared" si="15"/>
        <v>88</v>
      </c>
      <c r="H55" s="30">
        <f t="shared" si="16"/>
        <v>1760</v>
      </c>
      <c r="I55" s="28">
        <v>0</v>
      </c>
      <c r="J55" s="29">
        <f t="shared" si="17"/>
        <v>74</v>
      </c>
      <c r="K55" s="30">
        <f t="shared" si="18"/>
        <v>0</v>
      </c>
      <c r="L55" s="28">
        <v>0</v>
      </c>
      <c r="M55" s="29">
        <f t="shared" si="19"/>
        <v>55</v>
      </c>
      <c r="N55" s="30">
        <f t="shared" si="20"/>
        <v>0</v>
      </c>
      <c r="O55" s="28">
        <v>0</v>
      </c>
      <c r="P55" s="29">
        <f t="shared" si="21"/>
        <v>39</v>
      </c>
      <c r="Q55" s="30">
        <f t="shared" si="22"/>
        <v>0</v>
      </c>
      <c r="R55" s="31">
        <f t="shared" si="23"/>
        <v>20</v>
      </c>
      <c r="S55" s="32">
        <f t="shared" si="24"/>
        <v>1760</v>
      </c>
      <c r="T55" s="33" t="str">
        <f t="shared" si="25"/>
        <v/>
      </c>
    </row>
    <row r="56" spans="2:20" s="34" customFormat="1" x14ac:dyDescent="0.3">
      <c r="B56" s="14" t="s">
        <v>127</v>
      </c>
      <c r="C56" s="19" t="s">
        <v>46</v>
      </c>
      <c r="D56" s="42" t="str">
        <f t="shared" si="13"/>
        <v>Eko Albanija</v>
      </c>
      <c r="E56" s="42" t="str">
        <f t="shared" si="14"/>
        <v>Albania</v>
      </c>
      <c r="F56" s="28">
        <v>20</v>
      </c>
      <c r="G56" s="29">
        <f t="shared" si="15"/>
        <v>108</v>
      </c>
      <c r="H56" s="30">
        <f t="shared" si="16"/>
        <v>2160</v>
      </c>
      <c r="I56" s="28">
        <v>0</v>
      </c>
      <c r="J56" s="29">
        <f t="shared" si="17"/>
        <v>80</v>
      </c>
      <c r="K56" s="30">
        <f t="shared" si="18"/>
        <v>0</v>
      </c>
      <c r="L56" s="28">
        <v>0</v>
      </c>
      <c r="M56" s="29">
        <f t="shared" si="19"/>
        <v>57</v>
      </c>
      <c r="N56" s="30">
        <f t="shared" si="20"/>
        <v>0</v>
      </c>
      <c r="O56" s="28">
        <v>0</v>
      </c>
      <c r="P56" s="29">
        <f t="shared" si="21"/>
        <v>45</v>
      </c>
      <c r="Q56" s="30">
        <f t="shared" si="22"/>
        <v>0</v>
      </c>
      <c r="R56" s="31">
        <f t="shared" si="23"/>
        <v>20</v>
      </c>
      <c r="S56" s="32">
        <f t="shared" si="24"/>
        <v>2160</v>
      </c>
      <c r="T56" s="33" t="str">
        <f t="shared" si="25"/>
        <v/>
      </c>
    </row>
    <row r="57" spans="2:20" s="34" customFormat="1" x14ac:dyDescent="0.3">
      <c r="B57" s="14" t="s">
        <v>127</v>
      </c>
      <c r="C57" s="19" t="s">
        <v>59</v>
      </c>
      <c r="D57" s="42" t="str">
        <f t="shared" si="13"/>
        <v>Arcturos</v>
      </c>
      <c r="E57" s="42" t="str">
        <f t="shared" si="14"/>
        <v>Greece</v>
      </c>
      <c r="F57" s="28">
        <v>40</v>
      </c>
      <c r="G57" s="29">
        <f t="shared" si="15"/>
        <v>164</v>
      </c>
      <c r="H57" s="30">
        <f t="shared" si="16"/>
        <v>6560</v>
      </c>
      <c r="I57" s="28">
        <v>0</v>
      </c>
      <c r="J57" s="29">
        <f t="shared" si="17"/>
        <v>137</v>
      </c>
      <c r="K57" s="30">
        <f t="shared" si="18"/>
        <v>0</v>
      </c>
      <c r="L57" s="28">
        <v>0</v>
      </c>
      <c r="M57" s="29">
        <f t="shared" si="19"/>
        <v>102</v>
      </c>
      <c r="N57" s="30">
        <f t="shared" si="20"/>
        <v>0</v>
      </c>
      <c r="O57" s="28">
        <v>0</v>
      </c>
      <c r="P57" s="29">
        <f t="shared" si="21"/>
        <v>78</v>
      </c>
      <c r="Q57" s="30">
        <f t="shared" si="22"/>
        <v>0</v>
      </c>
      <c r="R57" s="31">
        <f t="shared" si="23"/>
        <v>40</v>
      </c>
      <c r="S57" s="32">
        <f t="shared" si="24"/>
        <v>6560</v>
      </c>
      <c r="T57" s="33" t="str">
        <f t="shared" si="25"/>
        <v/>
      </c>
    </row>
    <row r="58" spans="2:20" s="34" customFormat="1" x14ac:dyDescent="0.3">
      <c r="B58" s="14" t="s">
        <v>127</v>
      </c>
      <c r="C58" s="19" t="s">
        <v>54</v>
      </c>
      <c r="D58" s="42" t="str">
        <f t="shared" si="13"/>
        <v>BES</v>
      </c>
      <c r="E58" s="42" t="str">
        <f t="shared" si="14"/>
        <v>Bulgaria</v>
      </c>
      <c r="F58" s="28">
        <v>20</v>
      </c>
      <c r="G58" s="29">
        <f t="shared" si="15"/>
        <v>88</v>
      </c>
      <c r="H58" s="30">
        <f t="shared" si="16"/>
        <v>1760</v>
      </c>
      <c r="I58" s="28">
        <v>0</v>
      </c>
      <c r="J58" s="29">
        <f t="shared" si="17"/>
        <v>74</v>
      </c>
      <c r="K58" s="30">
        <f t="shared" si="18"/>
        <v>0</v>
      </c>
      <c r="L58" s="28">
        <v>0</v>
      </c>
      <c r="M58" s="29">
        <f t="shared" si="19"/>
        <v>55</v>
      </c>
      <c r="N58" s="30">
        <f t="shared" si="20"/>
        <v>0</v>
      </c>
      <c r="O58" s="28">
        <v>0</v>
      </c>
      <c r="P58" s="29">
        <f t="shared" si="21"/>
        <v>39</v>
      </c>
      <c r="Q58" s="30">
        <f t="shared" si="22"/>
        <v>0</v>
      </c>
      <c r="R58" s="31">
        <f t="shared" si="23"/>
        <v>20</v>
      </c>
      <c r="S58" s="32">
        <f t="shared" si="24"/>
        <v>1760</v>
      </c>
      <c r="T58" s="33" t="str">
        <f t="shared" si="25"/>
        <v/>
      </c>
    </row>
    <row r="59" spans="2:20" s="34" customFormat="1" x14ac:dyDescent="0.3">
      <c r="B59" s="14" t="s">
        <v>127</v>
      </c>
      <c r="C59" s="19" t="s">
        <v>49</v>
      </c>
      <c r="D59" s="42" t="str">
        <f t="shared" si="13"/>
        <v>Ekoloski Pokret Ibar</v>
      </c>
      <c r="E59" s="42" t="str">
        <f t="shared" si="14"/>
        <v>Serbia</v>
      </c>
      <c r="F59" s="28">
        <v>20</v>
      </c>
      <c r="G59" s="29">
        <f t="shared" si="15"/>
        <v>88</v>
      </c>
      <c r="H59" s="30">
        <f t="shared" si="16"/>
        <v>1760</v>
      </c>
      <c r="I59" s="28">
        <v>0</v>
      </c>
      <c r="J59" s="29">
        <f t="shared" si="17"/>
        <v>74</v>
      </c>
      <c r="K59" s="30">
        <f t="shared" si="18"/>
        <v>0</v>
      </c>
      <c r="L59" s="28">
        <v>0</v>
      </c>
      <c r="M59" s="29">
        <f t="shared" si="19"/>
        <v>55</v>
      </c>
      <c r="N59" s="30">
        <f t="shared" si="20"/>
        <v>0</v>
      </c>
      <c r="O59" s="28">
        <v>0</v>
      </c>
      <c r="P59" s="29">
        <f t="shared" si="21"/>
        <v>39</v>
      </c>
      <c r="Q59" s="30">
        <f t="shared" si="22"/>
        <v>0</v>
      </c>
      <c r="R59" s="31">
        <f t="shared" si="23"/>
        <v>20</v>
      </c>
      <c r="S59" s="32">
        <f t="shared" si="24"/>
        <v>1760</v>
      </c>
      <c r="T59" s="33" t="str">
        <f t="shared" si="25"/>
        <v/>
      </c>
    </row>
    <row r="60" spans="2:20" s="34" customFormat="1" x14ac:dyDescent="0.3">
      <c r="B60" s="14" t="s">
        <v>127</v>
      </c>
      <c r="C60" s="19" t="s">
        <v>31</v>
      </c>
      <c r="D60" s="42" t="str">
        <f t="shared" si="13"/>
        <v>Zelena Lista Srbije</v>
      </c>
      <c r="E60" s="42" t="str">
        <f t="shared" si="14"/>
        <v>Serbia</v>
      </c>
      <c r="F60" s="28">
        <v>20</v>
      </c>
      <c r="G60" s="29">
        <f t="shared" si="15"/>
        <v>88</v>
      </c>
      <c r="H60" s="30">
        <f t="shared" si="16"/>
        <v>1760</v>
      </c>
      <c r="I60" s="28">
        <v>0</v>
      </c>
      <c r="J60" s="29">
        <f t="shared" si="17"/>
        <v>74</v>
      </c>
      <c r="K60" s="30">
        <f t="shared" si="18"/>
        <v>0</v>
      </c>
      <c r="L60" s="28">
        <v>0</v>
      </c>
      <c r="M60" s="29">
        <f t="shared" si="19"/>
        <v>55</v>
      </c>
      <c r="N60" s="30">
        <f t="shared" si="20"/>
        <v>0</v>
      </c>
      <c r="O60" s="28">
        <v>0</v>
      </c>
      <c r="P60" s="29">
        <f t="shared" si="21"/>
        <v>39</v>
      </c>
      <c r="Q60" s="30">
        <f t="shared" si="22"/>
        <v>0</v>
      </c>
      <c r="R60" s="31">
        <f t="shared" si="23"/>
        <v>20</v>
      </c>
      <c r="S60" s="32">
        <f t="shared" si="24"/>
        <v>1760</v>
      </c>
      <c r="T60" s="33" t="str">
        <f t="shared" si="25"/>
        <v/>
      </c>
    </row>
    <row r="61" spans="2:20" s="34" customFormat="1" x14ac:dyDescent="0.3">
      <c r="B61" s="14" t="s">
        <v>127</v>
      </c>
      <c r="C61" s="19" t="s">
        <v>57</v>
      </c>
      <c r="D61" s="42" t="str">
        <f t="shared" si="13"/>
        <v xml:space="preserve">Zeleni Kljuc </v>
      </c>
      <c r="E61" s="42" t="str">
        <f t="shared" si="14"/>
        <v>Serbia</v>
      </c>
      <c r="F61" s="28">
        <v>20</v>
      </c>
      <c r="G61" s="29">
        <f t="shared" si="15"/>
        <v>88</v>
      </c>
      <c r="H61" s="30">
        <f t="shared" si="16"/>
        <v>1760</v>
      </c>
      <c r="I61" s="28">
        <v>0</v>
      </c>
      <c r="J61" s="29">
        <f t="shared" si="17"/>
        <v>74</v>
      </c>
      <c r="K61" s="30">
        <f t="shared" si="18"/>
        <v>0</v>
      </c>
      <c r="L61" s="28">
        <v>0</v>
      </c>
      <c r="M61" s="29">
        <f t="shared" si="19"/>
        <v>55</v>
      </c>
      <c r="N61" s="30">
        <f t="shared" si="20"/>
        <v>0</v>
      </c>
      <c r="O61" s="28">
        <v>0</v>
      </c>
      <c r="P61" s="29">
        <f t="shared" si="21"/>
        <v>39</v>
      </c>
      <c r="Q61" s="30">
        <f t="shared" si="22"/>
        <v>0</v>
      </c>
      <c r="R61" s="31">
        <f t="shared" si="23"/>
        <v>20</v>
      </c>
      <c r="S61" s="32">
        <f t="shared" si="24"/>
        <v>1760</v>
      </c>
      <c r="T61" s="33" t="str">
        <f t="shared" si="25"/>
        <v/>
      </c>
    </row>
    <row r="62" spans="2:20" s="34" customFormat="1" x14ac:dyDescent="0.3">
      <c r="B62" s="14" t="s">
        <v>127</v>
      </c>
      <c r="C62" s="19" t="s">
        <v>33</v>
      </c>
      <c r="D62" s="42" t="str">
        <f t="shared" si="13"/>
        <v xml:space="preserve">TURMEPA </v>
      </c>
      <c r="E62" s="42" t="str">
        <f t="shared" si="14"/>
        <v>Turkey</v>
      </c>
      <c r="F62" s="28">
        <v>20</v>
      </c>
      <c r="G62" s="29">
        <f t="shared" si="15"/>
        <v>88</v>
      </c>
      <c r="H62" s="30">
        <f t="shared" si="16"/>
        <v>1760</v>
      </c>
      <c r="I62" s="28">
        <v>0</v>
      </c>
      <c r="J62" s="29">
        <f t="shared" si="17"/>
        <v>74</v>
      </c>
      <c r="K62" s="30">
        <f t="shared" si="18"/>
        <v>0</v>
      </c>
      <c r="L62" s="28">
        <v>0</v>
      </c>
      <c r="M62" s="29">
        <f t="shared" si="19"/>
        <v>55</v>
      </c>
      <c r="N62" s="30">
        <f t="shared" si="20"/>
        <v>0</v>
      </c>
      <c r="O62" s="28">
        <v>0</v>
      </c>
      <c r="P62" s="29">
        <f t="shared" si="21"/>
        <v>39</v>
      </c>
      <c r="Q62" s="30">
        <f t="shared" si="22"/>
        <v>0</v>
      </c>
      <c r="R62" s="31">
        <f t="shared" si="23"/>
        <v>20</v>
      </c>
      <c r="S62" s="32">
        <f t="shared" si="24"/>
        <v>1760</v>
      </c>
      <c r="T62" s="33" t="str">
        <f t="shared" si="25"/>
        <v/>
      </c>
    </row>
    <row r="63" spans="2:20" s="34" customFormat="1" x14ac:dyDescent="0.3">
      <c r="B63" s="14" t="s">
        <v>127</v>
      </c>
      <c r="C63" s="19" t="s">
        <v>28</v>
      </c>
      <c r="D63" s="42" t="str">
        <f t="shared" si="13"/>
        <v>TeamChatGPT</v>
      </c>
      <c r="E63" s="42" t="str">
        <f t="shared" si="14"/>
        <v>Serbia</v>
      </c>
      <c r="F63" s="28">
        <v>20</v>
      </c>
      <c r="G63" s="29">
        <f t="shared" si="15"/>
        <v>88</v>
      </c>
      <c r="H63" s="30">
        <f t="shared" si="16"/>
        <v>1760</v>
      </c>
      <c r="I63" s="28">
        <v>0</v>
      </c>
      <c r="J63" s="29">
        <f t="shared" si="17"/>
        <v>74</v>
      </c>
      <c r="K63" s="30">
        <f t="shared" si="18"/>
        <v>0</v>
      </c>
      <c r="L63" s="28">
        <v>0</v>
      </c>
      <c r="M63" s="29">
        <f t="shared" si="19"/>
        <v>55</v>
      </c>
      <c r="N63" s="30">
        <f t="shared" si="20"/>
        <v>0</v>
      </c>
      <c r="O63" s="28">
        <v>0</v>
      </c>
      <c r="P63" s="29">
        <f t="shared" si="21"/>
        <v>39</v>
      </c>
      <c r="Q63" s="30">
        <f t="shared" si="22"/>
        <v>0</v>
      </c>
      <c r="R63" s="31">
        <f t="shared" si="23"/>
        <v>20</v>
      </c>
      <c r="S63" s="32">
        <f t="shared" si="24"/>
        <v>1760</v>
      </c>
      <c r="T63" s="33" t="str">
        <f t="shared" si="25"/>
        <v/>
      </c>
    </row>
    <row r="64" spans="2:20" s="34" customFormat="1" x14ac:dyDescent="0.3">
      <c r="B64" s="14" t="s">
        <v>127</v>
      </c>
      <c r="C64" s="19" t="s">
        <v>39</v>
      </c>
      <c r="D64" s="42" t="str">
        <f t="shared" si="13"/>
        <v>Eko Centar Srbija</v>
      </c>
      <c r="E64" s="42" t="str">
        <f t="shared" si="14"/>
        <v>Serbia</v>
      </c>
      <c r="F64" s="28">
        <v>20</v>
      </c>
      <c r="G64" s="29">
        <f t="shared" si="15"/>
        <v>88</v>
      </c>
      <c r="H64" s="30">
        <f t="shared" si="16"/>
        <v>1760</v>
      </c>
      <c r="I64" s="28">
        <v>0</v>
      </c>
      <c r="J64" s="29">
        <f t="shared" si="17"/>
        <v>74</v>
      </c>
      <c r="K64" s="30">
        <f t="shared" si="18"/>
        <v>0</v>
      </c>
      <c r="L64" s="28">
        <v>0</v>
      </c>
      <c r="M64" s="29">
        <f t="shared" si="19"/>
        <v>55</v>
      </c>
      <c r="N64" s="30">
        <f t="shared" si="20"/>
        <v>0</v>
      </c>
      <c r="O64" s="28">
        <v>0</v>
      </c>
      <c r="P64" s="29">
        <f t="shared" si="21"/>
        <v>39</v>
      </c>
      <c r="Q64" s="30">
        <f t="shared" si="22"/>
        <v>0</v>
      </c>
      <c r="R64" s="31">
        <f t="shared" si="23"/>
        <v>20</v>
      </c>
      <c r="S64" s="32">
        <f t="shared" si="24"/>
        <v>1760</v>
      </c>
      <c r="T64" s="33" t="str">
        <f t="shared" si="25"/>
        <v/>
      </c>
    </row>
    <row r="65" spans="2:20" s="34" customFormat="1" x14ac:dyDescent="0.3">
      <c r="B65" s="14" t="s">
        <v>127</v>
      </c>
      <c r="C65" s="19" t="s">
        <v>62</v>
      </c>
      <c r="D65" s="42" t="str">
        <f t="shared" si="13"/>
        <v>Ministarstvo zaštite životne sredine</v>
      </c>
      <c r="E65" s="42" t="str">
        <f t="shared" si="14"/>
        <v>Serbia</v>
      </c>
      <c r="F65" s="28">
        <v>0</v>
      </c>
      <c r="G65" s="29">
        <f t="shared" si="15"/>
        <v>88</v>
      </c>
      <c r="H65" s="30">
        <f t="shared" si="16"/>
        <v>0</v>
      </c>
      <c r="I65" s="28">
        <v>0</v>
      </c>
      <c r="J65" s="29">
        <f t="shared" si="17"/>
        <v>74</v>
      </c>
      <c r="K65" s="30">
        <f t="shared" si="18"/>
        <v>0</v>
      </c>
      <c r="L65" s="28">
        <v>0</v>
      </c>
      <c r="M65" s="29">
        <f t="shared" si="19"/>
        <v>55</v>
      </c>
      <c r="N65" s="30">
        <f t="shared" si="20"/>
        <v>0</v>
      </c>
      <c r="O65" s="28">
        <v>0</v>
      </c>
      <c r="P65" s="29">
        <f t="shared" si="21"/>
        <v>39</v>
      </c>
      <c r="Q65" s="30">
        <f t="shared" si="22"/>
        <v>0</v>
      </c>
      <c r="R65" s="31">
        <f t="shared" si="23"/>
        <v>0</v>
      </c>
      <c r="S65" s="32">
        <f t="shared" si="24"/>
        <v>0</v>
      </c>
      <c r="T65" s="33" t="str">
        <f t="shared" si="25"/>
        <v/>
      </c>
    </row>
  </sheetData>
  <sheetProtection password="AD90" sheet="1" objects="1" scenarios="1" selectLockedCells="1"/>
  <dataConsolidate/>
  <mergeCells count="21">
    <mergeCell ref="B2:T2"/>
    <mergeCell ref="S11:S12"/>
    <mergeCell ref="F11:H11"/>
    <mergeCell ref="I11:K11"/>
    <mergeCell ref="L11:N11"/>
    <mergeCell ref="O11:Q11"/>
    <mergeCell ref="B11:B12"/>
    <mergeCell ref="E11:E12"/>
    <mergeCell ref="D11:D12"/>
    <mergeCell ref="C11:C12"/>
    <mergeCell ref="B8:C8"/>
    <mergeCell ref="B7:C7"/>
    <mergeCell ref="B6:C6"/>
    <mergeCell ref="B5:C5"/>
    <mergeCell ref="B4:C4"/>
    <mergeCell ref="B9:C9"/>
    <mergeCell ref="R11:R12"/>
    <mergeCell ref="F4:T9"/>
    <mergeCell ref="B10:T10"/>
    <mergeCell ref="B3:T3"/>
    <mergeCell ref="T11:T12"/>
  </mergeCells>
  <conditionalFormatting sqref="T13:T14">
    <cfRule type="containsText" dxfId="622" priority="1247" operator="containsText" text="Error">
      <formula>NOT(ISERROR(SEARCH("Error",T13)))</formula>
    </cfRule>
  </conditionalFormatting>
  <conditionalFormatting sqref="D13:E14">
    <cfRule type="containsBlanks" dxfId="621" priority="1243">
      <formula>LEN(TRIM(D13))=0</formula>
    </cfRule>
  </conditionalFormatting>
  <conditionalFormatting sqref="F14 I14 L14 O14">
    <cfRule type="expression" dxfId="620" priority="614">
      <formula>ISNUMBER(F14)=FALSE</formula>
    </cfRule>
  </conditionalFormatting>
  <conditionalFormatting sqref="F13 I13 L13 O13">
    <cfRule type="expression" dxfId="619" priority="613">
      <formula>ISNUMBER(F13)=FALSE</formula>
    </cfRule>
  </conditionalFormatting>
  <conditionalFormatting sqref="B13:C13">
    <cfRule type="containsBlanks" dxfId="618" priority="606">
      <formula>LEN(TRIM(B13))=0</formula>
    </cfRule>
  </conditionalFormatting>
  <conditionalFormatting sqref="B14:C14 B16 B18 B20 B22 B24 C26">
    <cfRule type="containsBlanks" dxfId="617" priority="605">
      <formula>LEN(TRIM(B14))=0</formula>
    </cfRule>
  </conditionalFormatting>
  <conditionalFormatting sqref="T15">
    <cfRule type="containsText" dxfId="616" priority="320" operator="containsText" text="Error">
      <formula>NOT(ISERROR(SEARCH("Error",T15)))</formula>
    </cfRule>
  </conditionalFormatting>
  <conditionalFormatting sqref="D15:E15">
    <cfRule type="containsBlanks" dxfId="615" priority="319">
      <formula>LEN(TRIM(D15))=0</formula>
    </cfRule>
  </conditionalFormatting>
  <conditionalFormatting sqref="F15 I15 L15 O15">
    <cfRule type="expression" dxfId="614" priority="318">
      <formula>ISNUMBER(F15)=FALSE</formula>
    </cfRule>
  </conditionalFormatting>
  <conditionalFormatting sqref="B15:C15 B17 B19 B21 B23 C27">
    <cfRule type="containsBlanks" dxfId="613" priority="317">
      <formula>LEN(TRIM(B15))=0</formula>
    </cfRule>
  </conditionalFormatting>
  <conditionalFormatting sqref="T16">
    <cfRule type="containsText" dxfId="612" priority="316" operator="containsText" text="Error">
      <formula>NOT(ISERROR(SEARCH("Error",T16)))</formula>
    </cfRule>
  </conditionalFormatting>
  <conditionalFormatting sqref="D16:E16">
    <cfRule type="containsBlanks" dxfId="611" priority="315">
      <formula>LEN(TRIM(D16))=0</formula>
    </cfRule>
  </conditionalFormatting>
  <conditionalFormatting sqref="F16 I16 L16 O16">
    <cfRule type="expression" dxfId="610" priority="314">
      <formula>ISNUMBER(F16)=FALSE</formula>
    </cfRule>
  </conditionalFormatting>
  <conditionalFormatting sqref="C16 C28">
    <cfRule type="containsBlanks" dxfId="609" priority="313">
      <formula>LEN(TRIM(C16))=0</formula>
    </cfRule>
  </conditionalFormatting>
  <conditionalFormatting sqref="T17">
    <cfRule type="containsText" dxfId="608" priority="312" operator="containsText" text="Error">
      <formula>NOT(ISERROR(SEARCH("Error",T17)))</formula>
    </cfRule>
  </conditionalFormatting>
  <conditionalFormatting sqref="D17:E17">
    <cfRule type="containsBlanks" dxfId="607" priority="311">
      <formula>LEN(TRIM(D17))=0</formula>
    </cfRule>
  </conditionalFormatting>
  <conditionalFormatting sqref="F17 I17 L17 O17">
    <cfRule type="expression" dxfId="606" priority="310">
      <formula>ISNUMBER(F17)=FALSE</formula>
    </cfRule>
  </conditionalFormatting>
  <conditionalFormatting sqref="C17 C29">
    <cfRule type="containsBlanks" dxfId="605" priority="309">
      <formula>LEN(TRIM(C17))=0</formula>
    </cfRule>
  </conditionalFormatting>
  <conditionalFormatting sqref="T18">
    <cfRule type="containsText" dxfId="604" priority="308" operator="containsText" text="Error">
      <formula>NOT(ISERROR(SEARCH("Error",T18)))</formula>
    </cfRule>
  </conditionalFormatting>
  <conditionalFormatting sqref="D18:E18">
    <cfRule type="containsBlanks" dxfId="603" priority="307">
      <formula>LEN(TRIM(D18))=0</formula>
    </cfRule>
  </conditionalFormatting>
  <conditionalFormatting sqref="F18 I18 L18 O18">
    <cfRule type="expression" dxfId="602" priority="306">
      <formula>ISNUMBER(F18)=FALSE</formula>
    </cfRule>
  </conditionalFormatting>
  <conditionalFormatting sqref="C18 C30">
    <cfRule type="containsBlanks" dxfId="601" priority="305">
      <formula>LEN(TRIM(C18))=0</formula>
    </cfRule>
  </conditionalFormatting>
  <conditionalFormatting sqref="T19">
    <cfRule type="containsText" dxfId="600" priority="304" operator="containsText" text="Error">
      <formula>NOT(ISERROR(SEARCH("Error",T19)))</formula>
    </cfRule>
  </conditionalFormatting>
  <conditionalFormatting sqref="D19:E19">
    <cfRule type="containsBlanks" dxfId="599" priority="303">
      <formula>LEN(TRIM(D19))=0</formula>
    </cfRule>
  </conditionalFormatting>
  <conditionalFormatting sqref="F19 I19 L19 O19">
    <cfRule type="expression" dxfId="598" priority="302">
      <formula>ISNUMBER(F19)=FALSE</formula>
    </cfRule>
  </conditionalFormatting>
  <conditionalFormatting sqref="C19 C31">
    <cfRule type="containsBlanks" dxfId="597" priority="301">
      <formula>LEN(TRIM(C19))=0</formula>
    </cfRule>
  </conditionalFormatting>
  <conditionalFormatting sqref="T20">
    <cfRule type="containsText" dxfId="596" priority="300" operator="containsText" text="Error">
      <formula>NOT(ISERROR(SEARCH("Error",T20)))</formula>
    </cfRule>
  </conditionalFormatting>
  <conditionalFormatting sqref="D20:E20">
    <cfRule type="containsBlanks" dxfId="595" priority="299">
      <formula>LEN(TRIM(D20))=0</formula>
    </cfRule>
  </conditionalFormatting>
  <conditionalFormatting sqref="F20 I20 L20 O20">
    <cfRule type="expression" dxfId="594" priority="298">
      <formula>ISNUMBER(F20)=FALSE</formula>
    </cfRule>
  </conditionalFormatting>
  <conditionalFormatting sqref="C20 C32">
    <cfRule type="containsBlanks" dxfId="593" priority="297">
      <formula>LEN(TRIM(C20))=0</formula>
    </cfRule>
  </conditionalFormatting>
  <conditionalFormatting sqref="T21">
    <cfRule type="containsText" dxfId="592" priority="296" operator="containsText" text="Error">
      <formula>NOT(ISERROR(SEARCH("Error",T21)))</formula>
    </cfRule>
  </conditionalFormatting>
  <conditionalFormatting sqref="D21:E21">
    <cfRule type="containsBlanks" dxfId="591" priority="295">
      <formula>LEN(TRIM(D21))=0</formula>
    </cfRule>
  </conditionalFormatting>
  <conditionalFormatting sqref="F21 I21 L21 O21">
    <cfRule type="expression" dxfId="590" priority="294">
      <formula>ISNUMBER(F21)=FALSE</formula>
    </cfRule>
  </conditionalFormatting>
  <conditionalFormatting sqref="C21 C33">
    <cfRule type="containsBlanks" dxfId="589" priority="293">
      <formula>LEN(TRIM(C21))=0</formula>
    </cfRule>
  </conditionalFormatting>
  <conditionalFormatting sqref="T22">
    <cfRule type="containsText" dxfId="588" priority="292" operator="containsText" text="Error">
      <formula>NOT(ISERROR(SEARCH("Error",T22)))</formula>
    </cfRule>
  </conditionalFormatting>
  <conditionalFormatting sqref="D22:E22">
    <cfRule type="containsBlanks" dxfId="587" priority="291">
      <formula>LEN(TRIM(D22))=0</formula>
    </cfRule>
  </conditionalFormatting>
  <conditionalFormatting sqref="F22 I22 L22 O22">
    <cfRule type="expression" dxfId="586" priority="290">
      <formula>ISNUMBER(F22)=FALSE</formula>
    </cfRule>
  </conditionalFormatting>
  <conditionalFormatting sqref="C22 C34">
    <cfRule type="containsBlanks" dxfId="585" priority="289">
      <formula>LEN(TRIM(C22))=0</formula>
    </cfRule>
  </conditionalFormatting>
  <conditionalFormatting sqref="T23">
    <cfRule type="containsText" dxfId="584" priority="288" operator="containsText" text="Error">
      <formula>NOT(ISERROR(SEARCH("Error",T23)))</formula>
    </cfRule>
  </conditionalFormatting>
  <conditionalFormatting sqref="D23:E23">
    <cfRule type="containsBlanks" dxfId="583" priority="287">
      <formula>LEN(TRIM(D23))=0</formula>
    </cfRule>
  </conditionalFormatting>
  <conditionalFormatting sqref="F23 I23 L23 O23">
    <cfRule type="expression" dxfId="582" priority="286">
      <formula>ISNUMBER(F23)=FALSE</formula>
    </cfRule>
  </conditionalFormatting>
  <conditionalFormatting sqref="C23">
    <cfRule type="containsBlanks" dxfId="581" priority="285">
      <formula>LEN(TRIM(C23))=0</formula>
    </cfRule>
  </conditionalFormatting>
  <conditionalFormatting sqref="T24">
    <cfRule type="containsText" dxfId="580" priority="284" operator="containsText" text="Error">
      <formula>NOT(ISERROR(SEARCH("Error",T24)))</formula>
    </cfRule>
  </conditionalFormatting>
  <conditionalFormatting sqref="D24:E24">
    <cfRule type="containsBlanks" dxfId="579" priority="283">
      <formula>LEN(TRIM(D24))=0</formula>
    </cfRule>
  </conditionalFormatting>
  <conditionalFormatting sqref="F24 I24 L24 O24">
    <cfRule type="expression" dxfId="578" priority="282">
      <formula>ISNUMBER(F24)=FALSE</formula>
    </cfRule>
  </conditionalFormatting>
  <conditionalFormatting sqref="C24">
    <cfRule type="containsBlanks" dxfId="577" priority="281">
      <formula>LEN(TRIM(C24))=0</formula>
    </cfRule>
  </conditionalFormatting>
  <conditionalFormatting sqref="T26">
    <cfRule type="containsText" dxfId="576" priority="280" operator="containsText" text="Error">
      <formula>NOT(ISERROR(SEARCH("Error",T26)))</formula>
    </cfRule>
  </conditionalFormatting>
  <conditionalFormatting sqref="D26:E26">
    <cfRule type="containsBlanks" dxfId="575" priority="279">
      <formula>LEN(TRIM(D26))=0</formula>
    </cfRule>
  </conditionalFormatting>
  <conditionalFormatting sqref="F26 I26 L26 O26">
    <cfRule type="expression" dxfId="574" priority="278">
      <formula>ISNUMBER(F26)=FALSE</formula>
    </cfRule>
  </conditionalFormatting>
  <conditionalFormatting sqref="B26 B28 B30 B32 B34 B36">
    <cfRule type="containsBlanks" dxfId="573" priority="277">
      <formula>LEN(TRIM(B26))=0</formula>
    </cfRule>
  </conditionalFormatting>
  <conditionalFormatting sqref="T27">
    <cfRule type="containsText" dxfId="572" priority="276" operator="containsText" text="Error">
      <formula>NOT(ISERROR(SEARCH("Error",T27)))</formula>
    </cfRule>
  </conditionalFormatting>
  <conditionalFormatting sqref="D27:E27">
    <cfRule type="containsBlanks" dxfId="571" priority="275">
      <formula>LEN(TRIM(D27))=0</formula>
    </cfRule>
  </conditionalFormatting>
  <conditionalFormatting sqref="F27 I27 L27 O27">
    <cfRule type="expression" dxfId="570" priority="274">
      <formula>ISNUMBER(F27)=FALSE</formula>
    </cfRule>
  </conditionalFormatting>
  <conditionalFormatting sqref="B27 B29 B31 B33 B35 B37">
    <cfRule type="containsBlanks" dxfId="569" priority="273">
      <formula>LEN(TRIM(B27))=0</formula>
    </cfRule>
  </conditionalFormatting>
  <conditionalFormatting sqref="T28">
    <cfRule type="containsText" dxfId="568" priority="272" operator="containsText" text="Error">
      <formula>NOT(ISERROR(SEARCH("Error",T28)))</formula>
    </cfRule>
  </conditionalFormatting>
  <conditionalFormatting sqref="D28:E28">
    <cfRule type="containsBlanks" dxfId="567" priority="271">
      <formula>LEN(TRIM(D28))=0</formula>
    </cfRule>
  </conditionalFormatting>
  <conditionalFormatting sqref="F28 I28 L28 O28">
    <cfRule type="expression" dxfId="566" priority="270">
      <formula>ISNUMBER(F28)=FALSE</formula>
    </cfRule>
  </conditionalFormatting>
  <conditionalFormatting sqref="T29">
    <cfRule type="containsText" dxfId="565" priority="268" operator="containsText" text="Error">
      <formula>NOT(ISERROR(SEARCH("Error",T29)))</formula>
    </cfRule>
  </conditionalFormatting>
  <conditionalFormatting sqref="D29:E29">
    <cfRule type="containsBlanks" dxfId="564" priority="267">
      <formula>LEN(TRIM(D29))=0</formula>
    </cfRule>
  </conditionalFormatting>
  <conditionalFormatting sqref="F29 I29 L29 O29">
    <cfRule type="expression" dxfId="563" priority="266">
      <formula>ISNUMBER(F29)=FALSE</formula>
    </cfRule>
  </conditionalFormatting>
  <conditionalFormatting sqref="T30">
    <cfRule type="containsText" dxfId="562" priority="264" operator="containsText" text="Error">
      <formula>NOT(ISERROR(SEARCH("Error",T30)))</formula>
    </cfRule>
  </conditionalFormatting>
  <conditionalFormatting sqref="D30:E30">
    <cfRule type="containsBlanks" dxfId="561" priority="263">
      <formula>LEN(TRIM(D30))=0</formula>
    </cfRule>
  </conditionalFormatting>
  <conditionalFormatting sqref="F30 I30 L30 O30">
    <cfRule type="expression" dxfId="560" priority="262">
      <formula>ISNUMBER(F30)=FALSE</formula>
    </cfRule>
  </conditionalFormatting>
  <conditionalFormatting sqref="T31">
    <cfRule type="containsText" dxfId="559" priority="260" operator="containsText" text="Error">
      <formula>NOT(ISERROR(SEARCH("Error",T31)))</formula>
    </cfRule>
  </conditionalFormatting>
  <conditionalFormatting sqref="D31:E31">
    <cfRule type="containsBlanks" dxfId="558" priority="259">
      <formula>LEN(TRIM(D31))=0</formula>
    </cfRule>
  </conditionalFormatting>
  <conditionalFormatting sqref="F31 I31 L31 O31">
    <cfRule type="expression" dxfId="557" priority="258">
      <formula>ISNUMBER(F31)=FALSE</formula>
    </cfRule>
  </conditionalFormatting>
  <conditionalFormatting sqref="T32">
    <cfRule type="containsText" dxfId="556" priority="256" operator="containsText" text="Error">
      <formula>NOT(ISERROR(SEARCH("Error",T32)))</formula>
    </cfRule>
  </conditionalFormatting>
  <conditionalFormatting sqref="D32:E32">
    <cfRule type="containsBlanks" dxfId="555" priority="255">
      <formula>LEN(TRIM(D32))=0</formula>
    </cfRule>
  </conditionalFormatting>
  <conditionalFormatting sqref="F32 I32 L32 O32">
    <cfRule type="expression" dxfId="554" priority="254">
      <formula>ISNUMBER(F32)=FALSE</formula>
    </cfRule>
  </conditionalFormatting>
  <conditionalFormatting sqref="T33">
    <cfRule type="containsText" dxfId="553" priority="252" operator="containsText" text="Error">
      <formula>NOT(ISERROR(SEARCH("Error",T33)))</formula>
    </cfRule>
  </conditionalFormatting>
  <conditionalFormatting sqref="D33:E33">
    <cfRule type="containsBlanks" dxfId="552" priority="251">
      <formula>LEN(TRIM(D33))=0</formula>
    </cfRule>
  </conditionalFormatting>
  <conditionalFormatting sqref="F33 I33 L33 O33">
    <cfRule type="expression" dxfId="551" priority="250">
      <formula>ISNUMBER(F33)=FALSE</formula>
    </cfRule>
  </conditionalFormatting>
  <conditionalFormatting sqref="T34">
    <cfRule type="containsText" dxfId="550" priority="248" operator="containsText" text="Error">
      <formula>NOT(ISERROR(SEARCH("Error",T34)))</formula>
    </cfRule>
  </conditionalFormatting>
  <conditionalFormatting sqref="D34:E34">
    <cfRule type="containsBlanks" dxfId="549" priority="247">
      <formula>LEN(TRIM(D34))=0</formula>
    </cfRule>
  </conditionalFormatting>
  <conditionalFormatting sqref="F34 I34 L34 O34">
    <cfRule type="expression" dxfId="548" priority="246">
      <formula>ISNUMBER(F34)=FALSE</formula>
    </cfRule>
  </conditionalFormatting>
  <conditionalFormatting sqref="T35">
    <cfRule type="containsText" dxfId="547" priority="244" operator="containsText" text="Error">
      <formula>NOT(ISERROR(SEARCH("Error",T35)))</formula>
    </cfRule>
  </conditionalFormatting>
  <conditionalFormatting sqref="D35:E35">
    <cfRule type="containsBlanks" dxfId="546" priority="243">
      <formula>LEN(TRIM(D35))=0</formula>
    </cfRule>
  </conditionalFormatting>
  <conditionalFormatting sqref="F35 I35 L35 O35">
    <cfRule type="expression" dxfId="545" priority="242">
      <formula>ISNUMBER(F35)=FALSE</formula>
    </cfRule>
  </conditionalFormatting>
  <conditionalFormatting sqref="C35">
    <cfRule type="containsBlanks" dxfId="544" priority="241">
      <formula>LEN(TRIM(C35))=0</formula>
    </cfRule>
  </conditionalFormatting>
  <conditionalFormatting sqref="T36">
    <cfRule type="containsText" dxfId="543" priority="240" operator="containsText" text="Error">
      <formula>NOT(ISERROR(SEARCH("Error",T36)))</formula>
    </cfRule>
  </conditionalFormatting>
  <conditionalFormatting sqref="D36:E36">
    <cfRule type="containsBlanks" dxfId="542" priority="239">
      <formula>LEN(TRIM(D36))=0</formula>
    </cfRule>
  </conditionalFormatting>
  <conditionalFormatting sqref="F36 I36 L36 O36">
    <cfRule type="expression" dxfId="541" priority="238">
      <formula>ISNUMBER(F36)=FALSE</formula>
    </cfRule>
  </conditionalFormatting>
  <conditionalFormatting sqref="C36">
    <cfRule type="containsBlanks" dxfId="540" priority="237">
      <formula>LEN(TRIM(C36))=0</formula>
    </cfRule>
  </conditionalFormatting>
  <conditionalFormatting sqref="T37">
    <cfRule type="containsText" dxfId="539" priority="236" operator="containsText" text="Error">
      <formula>NOT(ISERROR(SEARCH("Error",T37)))</formula>
    </cfRule>
  </conditionalFormatting>
  <conditionalFormatting sqref="D37:E37">
    <cfRule type="containsBlanks" dxfId="538" priority="235">
      <formula>LEN(TRIM(D37))=0</formula>
    </cfRule>
  </conditionalFormatting>
  <conditionalFormatting sqref="F37 I37 L37 O37">
    <cfRule type="expression" dxfId="537" priority="234">
      <formula>ISNUMBER(F37)=FALSE</formula>
    </cfRule>
  </conditionalFormatting>
  <conditionalFormatting sqref="C37">
    <cfRule type="containsBlanks" dxfId="536" priority="233">
      <formula>LEN(TRIM(C37))=0</formula>
    </cfRule>
  </conditionalFormatting>
  <conditionalFormatting sqref="T39">
    <cfRule type="containsText" dxfId="535" priority="232" operator="containsText" text="Error">
      <formula>NOT(ISERROR(SEARCH("Error",T39)))</formula>
    </cfRule>
  </conditionalFormatting>
  <conditionalFormatting sqref="D39:E39">
    <cfRule type="containsBlanks" dxfId="534" priority="231">
      <formula>LEN(TRIM(D39))=0</formula>
    </cfRule>
  </conditionalFormatting>
  <conditionalFormatting sqref="F39 I39 L39 O39">
    <cfRule type="expression" dxfId="533" priority="230">
      <formula>ISNUMBER(F39)=FALSE</formula>
    </cfRule>
  </conditionalFormatting>
  <conditionalFormatting sqref="B39:C39 B41 B43 B45 B47 B49">
    <cfRule type="containsBlanks" dxfId="532" priority="229">
      <formula>LEN(TRIM(B39))=0</formula>
    </cfRule>
  </conditionalFormatting>
  <conditionalFormatting sqref="T40">
    <cfRule type="containsText" dxfId="531" priority="228" operator="containsText" text="Error">
      <formula>NOT(ISERROR(SEARCH("Error",T40)))</formula>
    </cfRule>
  </conditionalFormatting>
  <conditionalFormatting sqref="D40:E40">
    <cfRule type="containsBlanks" dxfId="530" priority="227">
      <formula>LEN(TRIM(D40))=0</formula>
    </cfRule>
  </conditionalFormatting>
  <conditionalFormatting sqref="F40 I40 L40 O40">
    <cfRule type="expression" dxfId="529" priority="226">
      <formula>ISNUMBER(F40)=FALSE</formula>
    </cfRule>
  </conditionalFormatting>
  <conditionalFormatting sqref="B40:C40 B42 B44 B46 B48">
    <cfRule type="containsBlanks" dxfId="528" priority="225">
      <formula>LEN(TRIM(B40))=0</formula>
    </cfRule>
  </conditionalFormatting>
  <conditionalFormatting sqref="T41">
    <cfRule type="containsText" dxfId="527" priority="224" operator="containsText" text="Error">
      <formula>NOT(ISERROR(SEARCH("Error",T41)))</formula>
    </cfRule>
  </conditionalFormatting>
  <conditionalFormatting sqref="D41:E41">
    <cfRule type="containsBlanks" dxfId="526" priority="223">
      <formula>LEN(TRIM(D41))=0</formula>
    </cfRule>
  </conditionalFormatting>
  <conditionalFormatting sqref="F41 I41 L41 O41">
    <cfRule type="expression" dxfId="525" priority="222">
      <formula>ISNUMBER(F41)=FALSE</formula>
    </cfRule>
  </conditionalFormatting>
  <conditionalFormatting sqref="C41">
    <cfRule type="containsBlanks" dxfId="524" priority="221">
      <formula>LEN(TRIM(C41))=0</formula>
    </cfRule>
  </conditionalFormatting>
  <conditionalFormatting sqref="T42">
    <cfRule type="containsText" dxfId="523" priority="220" operator="containsText" text="Error">
      <formula>NOT(ISERROR(SEARCH("Error",T42)))</formula>
    </cfRule>
  </conditionalFormatting>
  <conditionalFormatting sqref="D42:E42">
    <cfRule type="containsBlanks" dxfId="522" priority="219">
      <formula>LEN(TRIM(D42))=0</formula>
    </cfRule>
  </conditionalFormatting>
  <conditionalFormatting sqref="F42 I42 L42 O42">
    <cfRule type="expression" dxfId="521" priority="218">
      <formula>ISNUMBER(F42)=FALSE</formula>
    </cfRule>
  </conditionalFormatting>
  <conditionalFormatting sqref="C42">
    <cfRule type="containsBlanks" dxfId="520" priority="217">
      <formula>LEN(TRIM(C42))=0</formula>
    </cfRule>
  </conditionalFormatting>
  <conditionalFormatting sqref="T43">
    <cfRule type="containsText" dxfId="519" priority="216" operator="containsText" text="Error">
      <formula>NOT(ISERROR(SEARCH("Error",T43)))</formula>
    </cfRule>
  </conditionalFormatting>
  <conditionalFormatting sqref="D43:E43">
    <cfRule type="containsBlanks" dxfId="518" priority="215">
      <formula>LEN(TRIM(D43))=0</formula>
    </cfRule>
  </conditionalFormatting>
  <conditionalFormatting sqref="F43 I43 L43 O43">
    <cfRule type="expression" dxfId="517" priority="214">
      <formula>ISNUMBER(F43)=FALSE</formula>
    </cfRule>
  </conditionalFormatting>
  <conditionalFormatting sqref="C43">
    <cfRule type="containsBlanks" dxfId="516" priority="213">
      <formula>LEN(TRIM(C43))=0</formula>
    </cfRule>
  </conditionalFormatting>
  <conditionalFormatting sqref="T44">
    <cfRule type="containsText" dxfId="515" priority="212" operator="containsText" text="Error">
      <formula>NOT(ISERROR(SEARCH("Error",T44)))</formula>
    </cfRule>
  </conditionalFormatting>
  <conditionalFormatting sqref="D44:E44">
    <cfRule type="containsBlanks" dxfId="514" priority="211">
      <formula>LEN(TRIM(D44))=0</formula>
    </cfRule>
  </conditionalFormatting>
  <conditionalFormatting sqref="F44 I44 L44 O44">
    <cfRule type="expression" dxfId="513" priority="210">
      <formula>ISNUMBER(F44)=FALSE</formula>
    </cfRule>
  </conditionalFormatting>
  <conditionalFormatting sqref="C44">
    <cfRule type="containsBlanks" dxfId="512" priority="209">
      <formula>LEN(TRIM(C44))=0</formula>
    </cfRule>
  </conditionalFormatting>
  <conditionalFormatting sqref="T45">
    <cfRule type="containsText" dxfId="511" priority="208" operator="containsText" text="Error">
      <formula>NOT(ISERROR(SEARCH("Error",T45)))</formula>
    </cfRule>
  </conditionalFormatting>
  <conditionalFormatting sqref="D45:E45">
    <cfRule type="containsBlanks" dxfId="510" priority="207">
      <formula>LEN(TRIM(D45))=0</formula>
    </cfRule>
  </conditionalFormatting>
  <conditionalFormatting sqref="F45 I45 L45 O45">
    <cfRule type="expression" dxfId="509" priority="206">
      <formula>ISNUMBER(F45)=FALSE</formula>
    </cfRule>
  </conditionalFormatting>
  <conditionalFormatting sqref="C45">
    <cfRule type="containsBlanks" dxfId="508" priority="205">
      <formula>LEN(TRIM(C45))=0</formula>
    </cfRule>
  </conditionalFormatting>
  <conditionalFormatting sqref="T46">
    <cfRule type="containsText" dxfId="507" priority="204" operator="containsText" text="Error">
      <formula>NOT(ISERROR(SEARCH("Error",T46)))</formula>
    </cfRule>
  </conditionalFormatting>
  <conditionalFormatting sqref="D46:E46">
    <cfRule type="containsBlanks" dxfId="506" priority="203">
      <formula>LEN(TRIM(D46))=0</formula>
    </cfRule>
  </conditionalFormatting>
  <conditionalFormatting sqref="F46 I46 L46 O46">
    <cfRule type="expression" dxfId="505" priority="202">
      <formula>ISNUMBER(F46)=FALSE</formula>
    </cfRule>
  </conditionalFormatting>
  <conditionalFormatting sqref="C46">
    <cfRule type="containsBlanks" dxfId="504" priority="201">
      <formula>LEN(TRIM(C46))=0</formula>
    </cfRule>
  </conditionalFormatting>
  <conditionalFormatting sqref="T47">
    <cfRule type="containsText" dxfId="503" priority="200" operator="containsText" text="Error">
      <formula>NOT(ISERROR(SEARCH("Error",T47)))</formula>
    </cfRule>
  </conditionalFormatting>
  <conditionalFormatting sqref="D47:E47">
    <cfRule type="containsBlanks" dxfId="502" priority="199">
      <formula>LEN(TRIM(D47))=0</formula>
    </cfRule>
  </conditionalFormatting>
  <conditionalFormatting sqref="F47 I47 L47 O47">
    <cfRule type="expression" dxfId="501" priority="198">
      <formula>ISNUMBER(F47)=FALSE</formula>
    </cfRule>
  </conditionalFormatting>
  <conditionalFormatting sqref="C47">
    <cfRule type="containsBlanks" dxfId="500" priority="197">
      <formula>LEN(TRIM(C47))=0</formula>
    </cfRule>
  </conditionalFormatting>
  <conditionalFormatting sqref="T48">
    <cfRule type="containsText" dxfId="499" priority="196" operator="containsText" text="Error">
      <formula>NOT(ISERROR(SEARCH("Error",T48)))</formula>
    </cfRule>
  </conditionalFormatting>
  <conditionalFormatting sqref="D48:E48">
    <cfRule type="containsBlanks" dxfId="498" priority="195">
      <formula>LEN(TRIM(D48))=0</formula>
    </cfRule>
  </conditionalFormatting>
  <conditionalFormatting sqref="F48 I48 L48 O48">
    <cfRule type="expression" dxfId="497" priority="194">
      <formula>ISNUMBER(F48)=FALSE</formula>
    </cfRule>
  </conditionalFormatting>
  <conditionalFormatting sqref="C48">
    <cfRule type="containsBlanks" dxfId="496" priority="193">
      <formula>LEN(TRIM(C48))=0</formula>
    </cfRule>
  </conditionalFormatting>
  <conditionalFormatting sqref="T49">
    <cfRule type="containsText" dxfId="495" priority="192" operator="containsText" text="Error">
      <formula>NOT(ISERROR(SEARCH("Error",T49)))</formula>
    </cfRule>
  </conditionalFormatting>
  <conditionalFormatting sqref="D49:E49">
    <cfRule type="containsBlanks" dxfId="494" priority="191">
      <formula>LEN(TRIM(D49))=0</formula>
    </cfRule>
  </conditionalFormatting>
  <conditionalFormatting sqref="F49 I49 L49 O49">
    <cfRule type="expression" dxfId="493" priority="190">
      <formula>ISNUMBER(F49)=FALSE</formula>
    </cfRule>
  </conditionalFormatting>
  <conditionalFormatting sqref="C49">
    <cfRule type="containsBlanks" dxfId="492" priority="189">
      <formula>LEN(TRIM(C49))=0</formula>
    </cfRule>
  </conditionalFormatting>
  <conditionalFormatting sqref="T51">
    <cfRule type="containsText" dxfId="491" priority="188" operator="containsText" text="Error">
      <formula>NOT(ISERROR(SEARCH("Error",T51)))</formula>
    </cfRule>
  </conditionalFormatting>
  <conditionalFormatting sqref="D51:E51">
    <cfRule type="containsBlanks" dxfId="490" priority="187">
      <formula>LEN(TRIM(D51))=0</formula>
    </cfRule>
  </conditionalFormatting>
  <conditionalFormatting sqref="F51 I51 L51 O51">
    <cfRule type="expression" dxfId="489" priority="186">
      <formula>ISNUMBER(F51)=FALSE</formula>
    </cfRule>
  </conditionalFormatting>
  <conditionalFormatting sqref="B51:C51">
    <cfRule type="containsBlanks" dxfId="488" priority="185">
      <formula>LEN(TRIM(B51))=0</formula>
    </cfRule>
  </conditionalFormatting>
  <conditionalFormatting sqref="T52">
    <cfRule type="containsText" dxfId="487" priority="184" operator="containsText" text="Error">
      <formula>NOT(ISERROR(SEARCH("Error",T52)))</formula>
    </cfRule>
  </conditionalFormatting>
  <conditionalFormatting sqref="D52:E52">
    <cfRule type="containsBlanks" dxfId="486" priority="183">
      <formula>LEN(TRIM(D52))=0</formula>
    </cfRule>
  </conditionalFormatting>
  <conditionalFormatting sqref="F52 I52 L52 O52">
    <cfRule type="expression" dxfId="485" priority="182">
      <formula>ISNUMBER(F52)=FALSE</formula>
    </cfRule>
  </conditionalFormatting>
  <conditionalFormatting sqref="B52:C52">
    <cfRule type="containsBlanks" dxfId="484" priority="181">
      <formula>LEN(TRIM(B52))=0</formula>
    </cfRule>
  </conditionalFormatting>
  <conditionalFormatting sqref="T54">
    <cfRule type="containsText" dxfId="483" priority="180" operator="containsText" text="Error">
      <formula>NOT(ISERROR(SEARCH("Error",T54)))</formula>
    </cfRule>
  </conditionalFormatting>
  <conditionalFormatting sqref="D54:E54">
    <cfRule type="containsBlanks" dxfId="482" priority="179">
      <formula>LEN(TRIM(D54))=0</formula>
    </cfRule>
  </conditionalFormatting>
  <conditionalFormatting sqref="F54 I54 L54 O54">
    <cfRule type="expression" dxfId="481" priority="178">
      <formula>ISNUMBER(F54)=FALSE</formula>
    </cfRule>
  </conditionalFormatting>
  <conditionalFormatting sqref="B54:C54">
    <cfRule type="containsBlanks" dxfId="480" priority="177">
      <formula>LEN(TRIM(B54))=0</formula>
    </cfRule>
  </conditionalFormatting>
  <conditionalFormatting sqref="T55">
    <cfRule type="containsText" dxfId="479" priority="176" operator="containsText" text="Error">
      <formula>NOT(ISERROR(SEARCH("Error",T55)))</formula>
    </cfRule>
  </conditionalFormatting>
  <conditionalFormatting sqref="D55:E55">
    <cfRule type="containsBlanks" dxfId="478" priority="175">
      <formula>LEN(TRIM(D55))=0</formula>
    </cfRule>
  </conditionalFormatting>
  <conditionalFormatting sqref="F55 I55 L55 O55">
    <cfRule type="expression" dxfId="477" priority="174">
      <formula>ISNUMBER(F55)=FALSE</formula>
    </cfRule>
  </conditionalFormatting>
  <conditionalFormatting sqref="B55:C55">
    <cfRule type="containsBlanks" dxfId="476" priority="173">
      <formula>LEN(TRIM(B55))=0</formula>
    </cfRule>
  </conditionalFormatting>
  <conditionalFormatting sqref="T56">
    <cfRule type="containsText" dxfId="475" priority="172" operator="containsText" text="Error">
      <formula>NOT(ISERROR(SEARCH("Error",T56)))</formula>
    </cfRule>
  </conditionalFormatting>
  <conditionalFormatting sqref="D56:E56">
    <cfRule type="containsBlanks" dxfId="474" priority="171">
      <formula>LEN(TRIM(D56))=0</formula>
    </cfRule>
  </conditionalFormatting>
  <conditionalFormatting sqref="F56 I56 L56 O56">
    <cfRule type="expression" dxfId="473" priority="170">
      <formula>ISNUMBER(F56)=FALSE</formula>
    </cfRule>
  </conditionalFormatting>
  <conditionalFormatting sqref="B56:C56">
    <cfRule type="containsBlanks" dxfId="472" priority="169">
      <formula>LEN(TRIM(B56))=0</formula>
    </cfRule>
  </conditionalFormatting>
  <conditionalFormatting sqref="T57">
    <cfRule type="containsText" dxfId="471" priority="168" operator="containsText" text="Error">
      <formula>NOT(ISERROR(SEARCH("Error",T57)))</formula>
    </cfRule>
  </conditionalFormatting>
  <conditionalFormatting sqref="D57:E57">
    <cfRule type="containsBlanks" dxfId="470" priority="167">
      <formula>LEN(TRIM(D57))=0</formula>
    </cfRule>
  </conditionalFormatting>
  <conditionalFormatting sqref="F57 I57 L57 O57">
    <cfRule type="expression" dxfId="469" priority="166">
      <formula>ISNUMBER(F57)=FALSE</formula>
    </cfRule>
  </conditionalFormatting>
  <conditionalFormatting sqref="B57:C57">
    <cfRule type="containsBlanks" dxfId="468" priority="165">
      <formula>LEN(TRIM(B57))=0</formula>
    </cfRule>
  </conditionalFormatting>
  <conditionalFormatting sqref="T58">
    <cfRule type="containsText" dxfId="467" priority="164" operator="containsText" text="Error">
      <formula>NOT(ISERROR(SEARCH("Error",T58)))</formula>
    </cfRule>
  </conditionalFormatting>
  <conditionalFormatting sqref="D58:E58">
    <cfRule type="containsBlanks" dxfId="466" priority="163">
      <formula>LEN(TRIM(D58))=0</formula>
    </cfRule>
  </conditionalFormatting>
  <conditionalFormatting sqref="F58 I58 L58 O58">
    <cfRule type="expression" dxfId="465" priority="162">
      <formula>ISNUMBER(F58)=FALSE</formula>
    </cfRule>
  </conditionalFormatting>
  <conditionalFormatting sqref="B58:C58">
    <cfRule type="containsBlanks" dxfId="464" priority="161">
      <formula>LEN(TRIM(B58))=0</formula>
    </cfRule>
  </conditionalFormatting>
  <conditionalFormatting sqref="T59">
    <cfRule type="containsText" dxfId="463" priority="160" operator="containsText" text="Error">
      <formula>NOT(ISERROR(SEARCH("Error",T59)))</formula>
    </cfRule>
  </conditionalFormatting>
  <conditionalFormatting sqref="D59:E59">
    <cfRule type="containsBlanks" dxfId="462" priority="159">
      <formula>LEN(TRIM(D59))=0</formula>
    </cfRule>
  </conditionalFormatting>
  <conditionalFormatting sqref="F59 I59 L59 O59">
    <cfRule type="expression" dxfId="461" priority="158">
      <formula>ISNUMBER(F59)=FALSE</formula>
    </cfRule>
  </conditionalFormatting>
  <conditionalFormatting sqref="B59:C59">
    <cfRule type="containsBlanks" dxfId="460" priority="157">
      <formula>LEN(TRIM(B59))=0</formula>
    </cfRule>
  </conditionalFormatting>
  <conditionalFormatting sqref="T60">
    <cfRule type="containsText" dxfId="459" priority="156" operator="containsText" text="Error">
      <formula>NOT(ISERROR(SEARCH("Error",T60)))</formula>
    </cfRule>
  </conditionalFormatting>
  <conditionalFormatting sqref="D60:E60">
    <cfRule type="containsBlanks" dxfId="458" priority="155">
      <formula>LEN(TRIM(D60))=0</formula>
    </cfRule>
  </conditionalFormatting>
  <conditionalFormatting sqref="F60 I60 L60 O60">
    <cfRule type="expression" dxfId="457" priority="154">
      <formula>ISNUMBER(F60)=FALSE</formula>
    </cfRule>
  </conditionalFormatting>
  <conditionalFormatting sqref="B60:C60">
    <cfRule type="containsBlanks" dxfId="456" priority="153">
      <formula>LEN(TRIM(B60))=0</formula>
    </cfRule>
  </conditionalFormatting>
  <conditionalFormatting sqref="T61">
    <cfRule type="containsText" dxfId="455" priority="152" operator="containsText" text="Error">
      <formula>NOT(ISERROR(SEARCH("Error",T61)))</formula>
    </cfRule>
  </conditionalFormatting>
  <conditionalFormatting sqref="D61:E61">
    <cfRule type="containsBlanks" dxfId="454" priority="151">
      <formula>LEN(TRIM(D61))=0</formula>
    </cfRule>
  </conditionalFormatting>
  <conditionalFormatting sqref="F61 I61 L61 O61">
    <cfRule type="expression" dxfId="453" priority="150">
      <formula>ISNUMBER(F61)=FALSE</formula>
    </cfRule>
  </conditionalFormatting>
  <conditionalFormatting sqref="B61:C61">
    <cfRule type="containsBlanks" dxfId="452" priority="149">
      <formula>LEN(TRIM(B61))=0</formula>
    </cfRule>
  </conditionalFormatting>
  <conditionalFormatting sqref="T62">
    <cfRule type="containsText" dxfId="451" priority="148" operator="containsText" text="Error">
      <formula>NOT(ISERROR(SEARCH("Error",T62)))</formula>
    </cfRule>
  </conditionalFormatting>
  <conditionalFormatting sqref="D62:E62">
    <cfRule type="containsBlanks" dxfId="450" priority="147">
      <formula>LEN(TRIM(D62))=0</formula>
    </cfRule>
  </conditionalFormatting>
  <conditionalFormatting sqref="F62 I62 L62 O62">
    <cfRule type="expression" dxfId="449" priority="146">
      <formula>ISNUMBER(F62)=FALSE</formula>
    </cfRule>
  </conditionalFormatting>
  <conditionalFormatting sqref="B62:C62">
    <cfRule type="containsBlanks" dxfId="448" priority="145">
      <formula>LEN(TRIM(B62))=0</formula>
    </cfRule>
  </conditionalFormatting>
  <conditionalFormatting sqref="T63">
    <cfRule type="containsText" dxfId="447" priority="144" operator="containsText" text="Error">
      <formula>NOT(ISERROR(SEARCH("Error",T63)))</formula>
    </cfRule>
  </conditionalFormatting>
  <conditionalFormatting sqref="D63:E63">
    <cfRule type="containsBlanks" dxfId="446" priority="143">
      <formula>LEN(TRIM(D63))=0</formula>
    </cfRule>
  </conditionalFormatting>
  <conditionalFormatting sqref="F63 I63 L63 O63">
    <cfRule type="expression" dxfId="445" priority="142">
      <formula>ISNUMBER(F63)=FALSE</formula>
    </cfRule>
  </conditionalFormatting>
  <conditionalFormatting sqref="B63:C63">
    <cfRule type="containsBlanks" dxfId="444" priority="141">
      <formula>LEN(TRIM(B63))=0</formula>
    </cfRule>
  </conditionalFormatting>
  <conditionalFormatting sqref="T64">
    <cfRule type="containsText" dxfId="443" priority="140" operator="containsText" text="Error">
      <formula>NOT(ISERROR(SEARCH("Error",T64)))</formula>
    </cfRule>
  </conditionalFormatting>
  <conditionalFormatting sqref="D64:E64">
    <cfRule type="containsBlanks" dxfId="442" priority="139">
      <formula>LEN(TRIM(D64))=0</formula>
    </cfRule>
  </conditionalFormatting>
  <conditionalFormatting sqref="F64 I64 L64 O64">
    <cfRule type="expression" dxfId="441" priority="138">
      <formula>ISNUMBER(F64)=FALSE</formula>
    </cfRule>
  </conditionalFormatting>
  <conditionalFormatting sqref="B64:C64">
    <cfRule type="containsBlanks" dxfId="440" priority="137">
      <formula>LEN(TRIM(B64))=0</formula>
    </cfRule>
  </conditionalFormatting>
  <conditionalFormatting sqref="T25">
    <cfRule type="containsText" dxfId="439" priority="20" operator="containsText" text="Error">
      <formula>NOT(ISERROR(SEARCH("Error",T25)))</formula>
    </cfRule>
  </conditionalFormatting>
  <conditionalFormatting sqref="D25:E25">
    <cfRule type="containsBlanks" dxfId="438" priority="19">
      <formula>LEN(TRIM(D25))=0</formula>
    </cfRule>
  </conditionalFormatting>
  <conditionalFormatting sqref="F25 I25 L25 O25">
    <cfRule type="expression" dxfId="437" priority="18">
      <formula>ISNUMBER(F25)=FALSE</formula>
    </cfRule>
  </conditionalFormatting>
  <conditionalFormatting sqref="B25:C25">
    <cfRule type="containsBlanks" dxfId="436" priority="17">
      <formula>LEN(TRIM(B25))=0</formula>
    </cfRule>
  </conditionalFormatting>
  <conditionalFormatting sqref="T38">
    <cfRule type="containsText" dxfId="435" priority="16" operator="containsText" text="Error">
      <formula>NOT(ISERROR(SEARCH("Error",T38)))</formula>
    </cfRule>
  </conditionalFormatting>
  <conditionalFormatting sqref="D38:E38">
    <cfRule type="containsBlanks" dxfId="434" priority="15">
      <formula>LEN(TRIM(D38))=0</formula>
    </cfRule>
  </conditionalFormatting>
  <conditionalFormatting sqref="F38 I38 L38 O38">
    <cfRule type="expression" dxfId="433" priority="14">
      <formula>ISNUMBER(F38)=FALSE</formula>
    </cfRule>
  </conditionalFormatting>
  <conditionalFormatting sqref="B38:C38">
    <cfRule type="containsBlanks" dxfId="432" priority="13">
      <formula>LEN(TRIM(B38))=0</formula>
    </cfRule>
  </conditionalFormatting>
  <conditionalFormatting sqref="T50">
    <cfRule type="containsText" dxfId="431" priority="12" operator="containsText" text="Error">
      <formula>NOT(ISERROR(SEARCH("Error",T50)))</formula>
    </cfRule>
  </conditionalFormatting>
  <conditionalFormatting sqref="D50:E50">
    <cfRule type="containsBlanks" dxfId="430" priority="11">
      <formula>LEN(TRIM(D50))=0</formula>
    </cfRule>
  </conditionalFormatting>
  <conditionalFormatting sqref="F50 I50 L50 O50">
    <cfRule type="expression" dxfId="429" priority="10">
      <formula>ISNUMBER(F50)=FALSE</formula>
    </cfRule>
  </conditionalFormatting>
  <conditionalFormatting sqref="B50:C50">
    <cfRule type="containsBlanks" dxfId="428" priority="9">
      <formula>LEN(TRIM(B50))=0</formula>
    </cfRule>
  </conditionalFormatting>
  <conditionalFormatting sqref="T53">
    <cfRule type="containsText" dxfId="427" priority="8" operator="containsText" text="Error">
      <formula>NOT(ISERROR(SEARCH("Error",T53)))</formula>
    </cfRule>
  </conditionalFormatting>
  <conditionalFormatting sqref="D53:E53">
    <cfRule type="containsBlanks" dxfId="426" priority="7">
      <formula>LEN(TRIM(D53))=0</formula>
    </cfRule>
  </conditionalFormatting>
  <conditionalFormatting sqref="F53 I53 L53 O53">
    <cfRule type="expression" dxfId="425" priority="6">
      <formula>ISNUMBER(F53)=FALSE</formula>
    </cfRule>
  </conditionalFormatting>
  <conditionalFormatting sqref="B53:C53">
    <cfRule type="containsBlanks" dxfId="424" priority="5">
      <formula>LEN(TRIM(B53))=0</formula>
    </cfRule>
  </conditionalFormatting>
  <conditionalFormatting sqref="T65">
    <cfRule type="containsText" dxfId="423" priority="4" operator="containsText" text="Error">
      <formula>NOT(ISERROR(SEARCH("Error",T65)))</formula>
    </cfRule>
  </conditionalFormatting>
  <conditionalFormatting sqref="D65:E65">
    <cfRule type="containsBlanks" dxfId="422" priority="3">
      <formula>LEN(TRIM(D65))=0</formula>
    </cfRule>
  </conditionalFormatting>
  <conditionalFormatting sqref="F65 I65 L65 O65">
    <cfRule type="expression" dxfId="421" priority="2">
      <formula>ISNUMBER(F65)=FALSE</formula>
    </cfRule>
  </conditionalFormatting>
  <conditionalFormatting sqref="B65:C65">
    <cfRule type="containsBlanks" dxfId="420" priority="1">
      <formula>LEN(TRIM(B65))=0</formula>
    </cfRule>
  </conditionalFormatting>
  <dataValidations count="4">
    <dataValidation allowBlank="1" showInputMessage="1" errorTitle="Warning: Max Ceilings exceeded" error="Please be aware that this exceed the &quot;Ceilings&quot; for the maximum amounts for staff cost by country" sqref="P13:P65 J13:J65 M13:M65 G13:G65"/>
    <dataValidation type="custom" allowBlank="1" showInputMessage="1" showErrorMessage="1" error="Format error (1 decimal only)" prompt="Please encode number of days - 1 decimal only" sqref="O13:O65 I13:I65 F13:F65 L13:L65">
      <formula1>F13=INT(F13*10)/10</formula1>
    </dataValidation>
    <dataValidation type="list" allowBlank="1" showInputMessage="1" showErrorMessage="1" error="Click arrow to select Work Package" prompt="Click arrow to select Work Package" sqref="B13:B65">
      <formula1>WorkPackage</formula1>
    </dataValidation>
    <dataValidation type="list" allowBlank="1" showInputMessage="1" showErrorMessage="1" error="Click arrow to select Partner N°" prompt="Click arrow to select Partner N°" sqref="C13:C65">
      <formula1>PartnerN°</formula1>
    </dataValidation>
  </dataValidations>
  <printOptions horizontalCentered="1"/>
  <pageMargins left="0.23622047244094491" right="0.23622047244094491" top="0.39370078740157483" bottom="0.74803149606299213" header="0.31496062992125984" footer="0.31496062992125984"/>
  <pageSetup paperSize="9" scale="31" fitToHeight="0" orientation="landscape"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2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226"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3235" r:id="rId6" name="Button 163">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3" tint="0.39997558519241921"/>
    <pageSetUpPr fitToPage="1"/>
  </sheetPr>
  <dimension ref="B1:R51"/>
  <sheetViews>
    <sheetView showGridLines="0" zoomScale="55" zoomScaleNormal="55" zoomScaleSheetLayoutView="55" workbookViewId="0">
      <pane ySplit="13" topLeftCell="A14" activePane="bottomLeft" state="frozen"/>
      <selection pane="bottomLeft" activeCell="J33" sqref="J33"/>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30.6640625" style="1" customWidth="1"/>
    <col min="7" max="7" width="15.6640625" style="1" customWidth="1"/>
    <col min="8" max="8" width="14.33203125" style="1" customWidth="1"/>
    <col min="9" max="9" width="30.6640625" style="1" customWidth="1"/>
    <col min="10" max="10" width="24.6640625" style="1" bestFit="1" customWidth="1"/>
    <col min="11" max="11" width="17.109375" style="1" customWidth="1"/>
    <col min="12" max="12" width="40.6640625" style="1" customWidth="1"/>
    <col min="13" max="16" width="22.33203125" style="1" customWidth="1"/>
    <col min="17" max="17" width="22" style="1" customWidth="1"/>
    <col min="18" max="18" width="11.6640625" style="1" bestFit="1" customWidth="1"/>
    <col min="19" max="19" width="1.6640625" style="1" customWidth="1"/>
    <col min="20" max="16384" width="9.109375" style="1"/>
  </cols>
  <sheetData>
    <row r="1" spans="2:18" ht="8.1" customHeight="1" x14ac:dyDescent="0.35"/>
    <row r="2" spans="2:18" s="20" customFormat="1" ht="39.9" customHeight="1" x14ac:dyDescent="0.35">
      <c r="B2" s="190" t="s">
        <v>128</v>
      </c>
      <c r="C2" s="190"/>
      <c r="D2" s="190"/>
      <c r="E2" s="190"/>
      <c r="F2" s="190"/>
      <c r="G2" s="190"/>
      <c r="H2" s="190"/>
      <c r="I2" s="190"/>
      <c r="J2" s="190"/>
      <c r="K2" s="190"/>
      <c r="L2" s="190"/>
      <c r="M2" s="190"/>
      <c r="N2" s="190"/>
      <c r="O2" s="190"/>
      <c r="P2" s="190"/>
      <c r="Q2" s="190"/>
      <c r="R2" s="190"/>
    </row>
    <row r="3" spans="2:18" s="20" customFormat="1" ht="8.1" customHeight="1" x14ac:dyDescent="0.35">
      <c r="B3" s="169"/>
      <c r="C3" s="170"/>
      <c r="D3" s="170"/>
      <c r="E3" s="170"/>
      <c r="F3" s="170"/>
      <c r="G3" s="170"/>
      <c r="H3" s="170"/>
      <c r="I3" s="170"/>
      <c r="J3" s="170"/>
      <c r="K3" s="170"/>
      <c r="L3" s="170"/>
      <c r="M3" s="170"/>
      <c r="N3" s="170"/>
      <c r="O3" s="170"/>
      <c r="P3" s="170"/>
      <c r="Q3" s="170"/>
      <c r="R3" s="171"/>
    </row>
    <row r="4" spans="2:18" s="20" customFormat="1" ht="20.100000000000001" customHeight="1" x14ac:dyDescent="0.35">
      <c r="B4" s="185" t="s">
        <v>129</v>
      </c>
      <c r="C4" s="186"/>
      <c r="D4" s="51">
        <f>SUMIF(G:G,"Student",O:O)</f>
        <v>0</v>
      </c>
      <c r="E4" s="210">
        <f>D4+D5</f>
        <v>103400</v>
      </c>
      <c r="F4" s="195">
        <f>SUMIFS(H:H,G:G,"Student",R:R,"&lt;&gt;Error")</f>
        <v>120</v>
      </c>
      <c r="G4" s="49"/>
      <c r="L4" s="187" t="s">
        <v>130</v>
      </c>
      <c r="M4" s="188"/>
      <c r="N4" s="189"/>
      <c r="O4" s="90"/>
      <c r="P4" s="90"/>
      <c r="Q4" s="90"/>
      <c r="R4" s="77"/>
    </row>
    <row r="5" spans="2:18" s="20" customFormat="1" ht="20.100000000000001" customHeight="1" x14ac:dyDescent="0.35">
      <c r="B5" s="183" t="s">
        <v>131</v>
      </c>
      <c r="C5" s="184"/>
      <c r="D5" s="52">
        <f>SUMIF(G:G,"Student",P:P)</f>
        <v>103400</v>
      </c>
      <c r="E5" s="211"/>
      <c r="F5" s="196"/>
      <c r="G5" s="49"/>
      <c r="H5" s="50"/>
      <c r="I5" s="50"/>
      <c r="J5" s="50"/>
      <c r="L5" s="197" t="s">
        <v>132</v>
      </c>
      <c r="M5" s="198"/>
      <c r="N5" s="199"/>
      <c r="O5" s="50"/>
      <c r="P5" s="50"/>
      <c r="Q5" s="50"/>
      <c r="R5" s="77"/>
    </row>
    <row r="6" spans="2:18" s="20" customFormat="1" ht="20.100000000000001" customHeight="1" x14ac:dyDescent="0.35">
      <c r="B6" s="185" t="s">
        <v>133</v>
      </c>
      <c r="C6" s="186"/>
      <c r="D6" s="51">
        <f>SUMIF(G:G,"Staff",O:O)</f>
        <v>8250</v>
      </c>
      <c r="E6" s="208">
        <f>D6+D7</f>
        <v>123810</v>
      </c>
      <c r="F6" s="193">
        <f>SUMIFS(H:H,G:G,"Staff",R:R,"&lt;&gt;Error")</f>
        <v>52</v>
      </c>
      <c r="G6" s="49"/>
      <c r="L6" s="200"/>
      <c r="M6" s="201"/>
      <c r="N6" s="202"/>
      <c r="R6" s="77"/>
    </row>
    <row r="7" spans="2:18" s="20" customFormat="1" ht="20.100000000000001" customHeight="1" x14ac:dyDescent="0.35">
      <c r="B7" s="183" t="s">
        <v>134</v>
      </c>
      <c r="C7" s="184"/>
      <c r="D7" s="52">
        <f>SUMIF(G:G,"Staff",P:P)</f>
        <v>115560</v>
      </c>
      <c r="E7" s="209"/>
      <c r="F7" s="194"/>
      <c r="G7" s="49"/>
      <c r="L7" s="200"/>
      <c r="M7" s="201"/>
      <c r="N7" s="202"/>
      <c r="R7" s="77"/>
    </row>
    <row r="8" spans="2:18" s="20" customFormat="1" ht="20.100000000000001" customHeight="1" x14ac:dyDescent="0.35">
      <c r="B8" s="185" t="s">
        <v>135</v>
      </c>
      <c r="C8" s="186"/>
      <c r="D8" s="51">
        <f>SUM(O:O)</f>
        <v>8250</v>
      </c>
      <c r="E8" s="206">
        <f>D8+D9</f>
        <v>227210</v>
      </c>
      <c r="F8" s="191">
        <f>F4+F6</f>
        <v>172</v>
      </c>
      <c r="G8" s="49"/>
      <c r="L8" s="200"/>
      <c r="M8" s="201"/>
      <c r="N8" s="202"/>
      <c r="R8" s="77"/>
    </row>
    <row r="9" spans="2:18" s="20" customFormat="1" ht="20.100000000000001" customHeight="1" x14ac:dyDescent="0.35">
      <c r="B9" s="183" t="s">
        <v>136</v>
      </c>
      <c r="C9" s="184"/>
      <c r="D9" s="52">
        <f>SUM(P:P)</f>
        <v>218960</v>
      </c>
      <c r="E9" s="207"/>
      <c r="F9" s="192"/>
      <c r="G9" s="49"/>
      <c r="L9" s="200"/>
      <c r="M9" s="201"/>
      <c r="N9" s="202"/>
      <c r="R9" s="77"/>
    </row>
    <row r="10" spans="2:18" s="20" customFormat="1" x14ac:dyDescent="0.35">
      <c r="B10" s="183" t="s">
        <v>137</v>
      </c>
      <c r="C10" s="184"/>
      <c r="D10" s="52">
        <f>SUM(N:N)</f>
        <v>90400</v>
      </c>
      <c r="L10" s="200"/>
      <c r="M10" s="201"/>
      <c r="N10" s="202"/>
      <c r="R10" s="94"/>
    </row>
    <row r="11" spans="2:18" s="45" customFormat="1" ht="62.25" customHeight="1" x14ac:dyDescent="0.35">
      <c r="B11" s="86"/>
      <c r="L11" s="203"/>
      <c r="M11" s="204"/>
      <c r="N11" s="205"/>
      <c r="R11" s="87"/>
    </row>
    <row r="12" spans="2:18" ht="75" customHeight="1" x14ac:dyDescent="0.35">
      <c r="B12" s="46" t="s">
        <v>114</v>
      </c>
      <c r="C12" s="46" t="s">
        <v>18</v>
      </c>
      <c r="D12" s="46" t="s">
        <v>115</v>
      </c>
      <c r="E12" s="46" t="s">
        <v>116</v>
      </c>
      <c r="F12" s="44" t="s">
        <v>138</v>
      </c>
      <c r="G12" s="46" t="s">
        <v>139</v>
      </c>
      <c r="H12" s="46" t="s">
        <v>140</v>
      </c>
      <c r="I12" s="88" t="s">
        <v>141</v>
      </c>
      <c r="J12" s="44" t="s">
        <v>142</v>
      </c>
      <c r="K12" s="46" t="s">
        <v>143</v>
      </c>
      <c r="L12" s="27" t="s">
        <v>144</v>
      </c>
      <c r="M12" s="46" t="s">
        <v>145</v>
      </c>
      <c r="N12" s="46" t="s">
        <v>137</v>
      </c>
      <c r="O12" s="27" t="s">
        <v>146</v>
      </c>
      <c r="P12" s="46" t="s">
        <v>147</v>
      </c>
      <c r="Q12" s="46" t="s">
        <v>118</v>
      </c>
      <c r="R12" s="46" t="s">
        <v>119</v>
      </c>
    </row>
    <row r="13" spans="2:18" s="34" customFormat="1" hidden="1" x14ac:dyDescent="0.3">
      <c r="B13" s="14"/>
      <c r="C13" s="19"/>
      <c r="D13" s="42" t="str">
        <f t="shared" ref="D13:D14" si="0">IFERROR(IF(VLOOKUP(C13,PartnerN°Ref,2,FALSE)=0,"",VLOOKUP(C13,PartnerN°Ref,2,FALSE)),"")</f>
        <v/>
      </c>
      <c r="E13" s="42" t="str">
        <f t="shared" ref="E13:E14" si="1">IFERROR(IF(OR(VLOOKUP(C13,PartnerN°Ref,4,FALSE)="Country not found",VLOOKUP(C13,PartnerN°Ref,3,FALSE)=0),"",VLOOKUP(C13,PartnerN°Ref,3,FALSE)),"")</f>
        <v/>
      </c>
      <c r="F13" s="18"/>
      <c r="G13" s="78"/>
      <c r="H13" s="79">
        <v>0</v>
      </c>
      <c r="I13" s="18"/>
      <c r="J13" s="14"/>
      <c r="K13" s="79"/>
      <c r="L13" s="92"/>
      <c r="M13" s="93"/>
      <c r="N13" s="37">
        <f t="shared" ref="N13:N29" si="2">IF(AND(M13&gt;0,L13&lt;&gt;""),IF(M13&gt;(ROUND( (ROUND(ROUND(H13,0)*(VLOOKUP(J13,TravelCosts,2,FALSE)),2))/0.65,2)),ROUND(M13*0.8,2),"covered by unit cost"),0)</f>
        <v>0</v>
      </c>
      <c r="O13" s="37">
        <f t="shared" ref="O13:O29" si="3">IF(OR(AND(L13&lt;&gt;"",M13&gt;0,ISNUMBER(N13)),R13="Error"),0,ROUND(ROUND(H13,0)*(VLOOKUP(J13,TravelCosts,2,FALSE)),2))</f>
        <v>0</v>
      </c>
      <c r="P13" s="37">
        <f t="shared" ref="P13:P29" si="4">IF(R13="Error",0,IF(AND(G13="Staff",K13&gt;0,K13&lt;15),(120*K13)*H13,IF(AND(G13="Staff",K13&gt;14,K13&lt;61),(1680+((K13-14)*70))*H13,IF(AND(G13="Staff",K13&gt;60,K13&lt;91),(4900+((K13-60)*50))*H13,IF(AND(G13="Student",K13&gt;0,K13&lt;15),(55*K13)*H13,IF(AND(G13="Student",K13&gt;14,K13&lt;91),(770+((K13-14)*40))*H13,0))))))</f>
        <v>0</v>
      </c>
      <c r="Q13" s="38">
        <f t="shared" ref="Q13:Q29" si="5">IFERROR(N13+O13+P13,O13+P13)</f>
        <v>0</v>
      </c>
      <c r="R13" s="91" t="str">
        <f t="shared" ref="R13:R29" si="6">IF(OR(COUNTIF(WorkPackage,B13)=0,COUNTIF(PartnerN°,C13)=0,D13="",COUNTIF(CountryALL,E13)=0,F13="",COUNTIF(Category2,G13)=0,ISNUMBER(H13)=FALSE,H13&lt;=0,I13="",COUNTIF(TravelBands,J13)=0,ISNUMBER(K13)=FALSE,OR(K13&lt;0,K13&gt;90),IF(ISNUMBER(H13)=TRUE,H13=INT(H13*1)/1=FALSE),IF(ISNUMBER(K13)=TRUE,K13=INT(K13*1)/1=FALSE),AND(L13&lt;&gt;"",M13=0),AND(L13="",M13&gt;0),ISNUMBER(N13)=FALSE ),"Error","")</f>
        <v>Error</v>
      </c>
    </row>
    <row r="14" spans="2:18" s="34" customFormat="1" x14ac:dyDescent="0.3">
      <c r="B14" s="14" t="s">
        <v>124</v>
      </c>
      <c r="C14" s="19" t="s">
        <v>33</v>
      </c>
      <c r="D14" s="42" t="str">
        <f t="shared" si="0"/>
        <v xml:space="preserve">TURMEPA </v>
      </c>
      <c r="E14" s="42" t="str">
        <f t="shared" si="1"/>
        <v>Turkey</v>
      </c>
      <c r="F14" s="18" t="s">
        <v>373</v>
      </c>
      <c r="G14" s="78" t="s">
        <v>186</v>
      </c>
      <c r="H14" s="79">
        <v>4</v>
      </c>
      <c r="I14" s="18" t="s">
        <v>374</v>
      </c>
      <c r="J14" s="14" t="s">
        <v>196</v>
      </c>
      <c r="K14" s="79">
        <v>3</v>
      </c>
      <c r="L14" s="92" t="s">
        <v>211</v>
      </c>
      <c r="M14" s="93">
        <v>3000</v>
      </c>
      <c r="N14" s="37">
        <f t="shared" si="2"/>
        <v>2400</v>
      </c>
      <c r="O14" s="37">
        <f t="shared" si="3"/>
        <v>0</v>
      </c>
      <c r="P14" s="37">
        <f t="shared" si="4"/>
        <v>660</v>
      </c>
      <c r="Q14" s="38">
        <f t="shared" si="5"/>
        <v>3060</v>
      </c>
      <c r="R14" s="91" t="str">
        <f t="shared" si="6"/>
        <v/>
      </c>
    </row>
    <row r="15" spans="2:18" s="34" customFormat="1" x14ac:dyDescent="0.3">
      <c r="B15" s="14" t="s">
        <v>124</v>
      </c>
      <c r="C15" s="19" t="s">
        <v>41</v>
      </c>
      <c r="D15" s="42" t="str">
        <f t="shared" ref="D15:D46" si="7">IFERROR(IF(VLOOKUP(C15,PartnerN°Ref,2,FALSE)=0,"",VLOOKUP(C15,PartnerN°Ref,2,FALSE)),"")</f>
        <v xml:space="preserve">Udruga Eko </v>
      </c>
      <c r="E15" s="42" t="str">
        <f t="shared" ref="E15:E46" si="8">IFERROR(IF(OR(VLOOKUP(C15,PartnerN°Ref,4,FALSE)="Country not found",VLOOKUP(C15,PartnerN°Ref,3,FALSE)=0),"",VLOOKUP(C15,PartnerN°Ref,3,FALSE)),"")</f>
        <v>Croatia</v>
      </c>
      <c r="F15" s="18" t="s">
        <v>375</v>
      </c>
      <c r="G15" s="78" t="s">
        <v>186</v>
      </c>
      <c r="H15" s="79">
        <v>4</v>
      </c>
      <c r="I15" s="18" t="s">
        <v>376</v>
      </c>
      <c r="J15" s="14" t="s">
        <v>196</v>
      </c>
      <c r="K15" s="79">
        <v>3</v>
      </c>
      <c r="L15" s="92" t="s">
        <v>211</v>
      </c>
      <c r="M15" s="93">
        <v>3000</v>
      </c>
      <c r="N15" s="37">
        <f t="shared" si="2"/>
        <v>2400</v>
      </c>
      <c r="O15" s="37">
        <f t="shared" si="3"/>
        <v>0</v>
      </c>
      <c r="P15" s="37">
        <f t="shared" si="4"/>
        <v>660</v>
      </c>
      <c r="Q15" s="38">
        <f t="shared" si="5"/>
        <v>3060</v>
      </c>
      <c r="R15" s="91" t="str">
        <f t="shared" si="6"/>
        <v/>
      </c>
    </row>
    <row r="16" spans="2:18" s="34" customFormat="1" x14ac:dyDescent="0.3">
      <c r="B16" s="14" t="s">
        <v>124</v>
      </c>
      <c r="C16" s="19" t="s">
        <v>51</v>
      </c>
      <c r="D16" s="42" t="str">
        <f t="shared" si="7"/>
        <v xml:space="preserve">BUND </v>
      </c>
      <c r="E16" s="42" t="str">
        <f t="shared" si="8"/>
        <v>Germany</v>
      </c>
      <c r="F16" s="18" t="s">
        <v>377</v>
      </c>
      <c r="G16" s="78" t="s">
        <v>186</v>
      </c>
      <c r="H16" s="79">
        <v>4</v>
      </c>
      <c r="I16" s="18" t="s">
        <v>378</v>
      </c>
      <c r="J16" s="14" t="s">
        <v>196</v>
      </c>
      <c r="K16" s="79">
        <v>3</v>
      </c>
      <c r="L16" s="92" t="s">
        <v>211</v>
      </c>
      <c r="M16" s="93">
        <v>3000</v>
      </c>
      <c r="N16" s="37">
        <f t="shared" si="2"/>
        <v>2400</v>
      </c>
      <c r="O16" s="37">
        <f t="shared" si="3"/>
        <v>0</v>
      </c>
      <c r="P16" s="37">
        <f t="shared" si="4"/>
        <v>660</v>
      </c>
      <c r="Q16" s="38">
        <f t="shared" si="5"/>
        <v>3060</v>
      </c>
      <c r="R16" s="91" t="str">
        <f t="shared" si="6"/>
        <v/>
      </c>
    </row>
    <row r="17" spans="2:18" s="34" customFormat="1" x14ac:dyDescent="0.3">
      <c r="B17" s="14" t="s">
        <v>124</v>
      </c>
      <c r="C17" s="19" t="s">
        <v>46</v>
      </c>
      <c r="D17" s="42" t="str">
        <f t="shared" si="7"/>
        <v>Eko Albanija</v>
      </c>
      <c r="E17" s="42" t="str">
        <f t="shared" si="8"/>
        <v>Albania</v>
      </c>
      <c r="F17" s="18" t="s">
        <v>378</v>
      </c>
      <c r="G17" s="78" t="s">
        <v>186</v>
      </c>
      <c r="H17" s="79">
        <v>4</v>
      </c>
      <c r="I17" s="18" t="s">
        <v>379</v>
      </c>
      <c r="J17" s="14" t="s">
        <v>196</v>
      </c>
      <c r="K17" s="79">
        <v>3</v>
      </c>
      <c r="L17" s="92" t="s">
        <v>211</v>
      </c>
      <c r="M17" s="93">
        <v>3000</v>
      </c>
      <c r="N17" s="37">
        <f t="shared" si="2"/>
        <v>2400</v>
      </c>
      <c r="O17" s="37">
        <f t="shared" si="3"/>
        <v>0</v>
      </c>
      <c r="P17" s="37">
        <f t="shared" si="4"/>
        <v>660</v>
      </c>
      <c r="Q17" s="38">
        <f t="shared" si="5"/>
        <v>3060</v>
      </c>
      <c r="R17" s="91" t="str">
        <f t="shared" si="6"/>
        <v/>
      </c>
    </row>
    <row r="18" spans="2:18" s="34" customFormat="1" x14ac:dyDescent="0.3">
      <c r="B18" s="14" t="s">
        <v>124</v>
      </c>
      <c r="C18" s="19" t="s">
        <v>54</v>
      </c>
      <c r="D18" s="42" t="str">
        <f t="shared" si="7"/>
        <v>BES</v>
      </c>
      <c r="E18" s="42" t="str">
        <f t="shared" si="8"/>
        <v>Bulgaria</v>
      </c>
      <c r="F18" s="18" t="s">
        <v>376</v>
      </c>
      <c r="G18" s="78" t="s">
        <v>186</v>
      </c>
      <c r="H18" s="79">
        <v>4</v>
      </c>
      <c r="I18" s="18" t="s">
        <v>380</v>
      </c>
      <c r="J18" s="14" t="s">
        <v>196</v>
      </c>
      <c r="K18" s="79">
        <v>3</v>
      </c>
      <c r="L18" s="92" t="s">
        <v>211</v>
      </c>
      <c r="M18" s="93">
        <v>3000</v>
      </c>
      <c r="N18" s="37">
        <f t="shared" si="2"/>
        <v>2400</v>
      </c>
      <c r="O18" s="37">
        <f t="shared" si="3"/>
        <v>0</v>
      </c>
      <c r="P18" s="37">
        <f t="shared" si="4"/>
        <v>660</v>
      </c>
      <c r="Q18" s="38">
        <f t="shared" si="5"/>
        <v>3060</v>
      </c>
      <c r="R18" s="91" t="str">
        <f t="shared" si="6"/>
        <v/>
      </c>
    </row>
    <row r="19" spans="2:18" s="34" customFormat="1" x14ac:dyDescent="0.3">
      <c r="B19" s="14" t="s">
        <v>124</v>
      </c>
      <c r="C19" s="19" t="s">
        <v>31</v>
      </c>
      <c r="D19" s="42" t="str">
        <f t="shared" si="7"/>
        <v>Zelena Lista Srbije</v>
      </c>
      <c r="E19" s="42" t="str">
        <f t="shared" si="8"/>
        <v>Serbia</v>
      </c>
      <c r="F19" s="18" t="s">
        <v>374</v>
      </c>
      <c r="G19" s="78" t="s">
        <v>186</v>
      </c>
      <c r="H19" s="79">
        <v>4</v>
      </c>
      <c r="I19" s="18" t="s">
        <v>381</v>
      </c>
      <c r="J19" s="14" t="s">
        <v>195</v>
      </c>
      <c r="K19" s="79">
        <v>3</v>
      </c>
      <c r="L19" s="92" t="s">
        <v>211</v>
      </c>
      <c r="M19" s="93">
        <v>3000</v>
      </c>
      <c r="N19" s="37">
        <f t="shared" si="2"/>
        <v>2400</v>
      </c>
      <c r="O19" s="37">
        <f t="shared" si="3"/>
        <v>0</v>
      </c>
      <c r="P19" s="37">
        <f t="shared" si="4"/>
        <v>660</v>
      </c>
      <c r="Q19" s="38">
        <f t="shared" si="5"/>
        <v>3060</v>
      </c>
      <c r="R19" s="91" t="str">
        <f t="shared" si="6"/>
        <v/>
      </c>
    </row>
    <row r="20" spans="2:18" s="34" customFormat="1" x14ac:dyDescent="0.3">
      <c r="B20" s="14" t="s">
        <v>124</v>
      </c>
      <c r="C20" s="19" t="s">
        <v>59</v>
      </c>
      <c r="D20" s="42" t="str">
        <f t="shared" si="7"/>
        <v>Arcturos</v>
      </c>
      <c r="E20" s="42" t="str">
        <f t="shared" si="8"/>
        <v>Greece</v>
      </c>
      <c r="F20" s="18" t="s">
        <v>382</v>
      </c>
      <c r="G20" s="78" t="s">
        <v>186</v>
      </c>
      <c r="H20" s="79">
        <v>4</v>
      </c>
      <c r="I20" s="18" t="s">
        <v>383</v>
      </c>
      <c r="J20" s="14" t="s">
        <v>195</v>
      </c>
      <c r="K20" s="79">
        <v>3</v>
      </c>
      <c r="L20" s="92" t="s">
        <v>211</v>
      </c>
      <c r="M20" s="93">
        <v>3000</v>
      </c>
      <c r="N20" s="37">
        <f t="shared" si="2"/>
        <v>2400</v>
      </c>
      <c r="O20" s="37">
        <f t="shared" si="3"/>
        <v>0</v>
      </c>
      <c r="P20" s="37">
        <f t="shared" si="4"/>
        <v>660</v>
      </c>
      <c r="Q20" s="38">
        <f t="shared" si="5"/>
        <v>3060</v>
      </c>
      <c r="R20" s="91" t="str">
        <f t="shared" si="6"/>
        <v/>
      </c>
    </row>
    <row r="21" spans="2:18" s="34" customFormat="1" x14ac:dyDescent="0.3">
      <c r="B21" s="14" t="s">
        <v>124</v>
      </c>
      <c r="C21" s="19" t="s">
        <v>36</v>
      </c>
      <c r="D21" s="42" t="str">
        <f t="shared" si="7"/>
        <v>Ozon</v>
      </c>
      <c r="E21" s="42" t="str">
        <f t="shared" si="8"/>
        <v>Montenegro</v>
      </c>
      <c r="F21" s="18" t="s">
        <v>380</v>
      </c>
      <c r="G21" s="78" t="s">
        <v>186</v>
      </c>
      <c r="H21" s="79">
        <v>4</v>
      </c>
      <c r="I21" s="18" t="s">
        <v>384</v>
      </c>
      <c r="J21" s="14" t="s">
        <v>196</v>
      </c>
      <c r="K21" s="79">
        <v>3</v>
      </c>
      <c r="L21" s="92" t="s">
        <v>211</v>
      </c>
      <c r="M21" s="93">
        <v>3000</v>
      </c>
      <c r="N21" s="37">
        <f t="shared" si="2"/>
        <v>2400</v>
      </c>
      <c r="O21" s="37">
        <f t="shared" si="3"/>
        <v>0</v>
      </c>
      <c r="P21" s="37">
        <f t="shared" si="4"/>
        <v>660</v>
      </c>
      <c r="Q21" s="38">
        <f t="shared" si="5"/>
        <v>3060</v>
      </c>
      <c r="R21" s="91" t="str">
        <f t="shared" si="6"/>
        <v/>
      </c>
    </row>
    <row r="22" spans="2:18" s="34" customFormat="1" x14ac:dyDescent="0.3">
      <c r="B22" s="14" t="s">
        <v>124</v>
      </c>
      <c r="C22" s="19" t="s">
        <v>44</v>
      </c>
      <c r="D22" s="42" t="str">
        <f t="shared" si="7"/>
        <v>Eko Drustvo Duboko</v>
      </c>
      <c r="E22" s="42" t="str">
        <f t="shared" si="8"/>
        <v>Serbia</v>
      </c>
      <c r="F22" s="18" t="s">
        <v>381</v>
      </c>
      <c r="G22" s="78" t="s">
        <v>186</v>
      </c>
      <c r="H22" s="79">
        <v>4</v>
      </c>
      <c r="I22" s="18" t="s">
        <v>385</v>
      </c>
      <c r="J22" s="14" t="s">
        <v>196</v>
      </c>
      <c r="K22" s="79">
        <v>3</v>
      </c>
      <c r="L22" s="92" t="s">
        <v>211</v>
      </c>
      <c r="M22" s="93">
        <v>3000</v>
      </c>
      <c r="N22" s="37">
        <f t="shared" si="2"/>
        <v>2400</v>
      </c>
      <c r="O22" s="37">
        <f t="shared" si="3"/>
        <v>0</v>
      </c>
      <c r="P22" s="37">
        <f t="shared" si="4"/>
        <v>660</v>
      </c>
      <c r="Q22" s="38">
        <f t="shared" si="5"/>
        <v>3060</v>
      </c>
      <c r="R22" s="91" t="str">
        <f t="shared" si="6"/>
        <v/>
      </c>
    </row>
    <row r="23" spans="2:18" s="34" customFormat="1" x14ac:dyDescent="0.3">
      <c r="B23" s="14" t="s">
        <v>124</v>
      </c>
      <c r="C23" s="19" t="s">
        <v>49</v>
      </c>
      <c r="D23" s="42" t="str">
        <f t="shared" si="7"/>
        <v>Ekoloski Pokret Ibar</v>
      </c>
      <c r="E23" s="42" t="str">
        <f t="shared" si="8"/>
        <v>Serbia</v>
      </c>
      <c r="F23" s="18" t="s">
        <v>374</v>
      </c>
      <c r="G23" s="78" t="s">
        <v>186</v>
      </c>
      <c r="H23" s="79">
        <v>4</v>
      </c>
      <c r="I23" s="18" t="s">
        <v>386</v>
      </c>
      <c r="J23" s="14" t="s">
        <v>193</v>
      </c>
      <c r="K23" s="79">
        <v>3</v>
      </c>
      <c r="L23" s="92" t="s">
        <v>211</v>
      </c>
      <c r="M23" s="93">
        <v>3000</v>
      </c>
      <c r="N23" s="37">
        <f t="shared" si="2"/>
        <v>2400</v>
      </c>
      <c r="O23" s="37">
        <f t="shared" si="3"/>
        <v>0</v>
      </c>
      <c r="P23" s="37">
        <f t="shared" si="4"/>
        <v>660</v>
      </c>
      <c r="Q23" s="38">
        <f t="shared" si="5"/>
        <v>3060</v>
      </c>
      <c r="R23" s="91" t="str">
        <f t="shared" si="6"/>
        <v/>
      </c>
    </row>
    <row r="24" spans="2:18" s="34" customFormat="1" x14ac:dyDescent="0.3">
      <c r="B24" s="14" t="s">
        <v>124</v>
      </c>
      <c r="C24" s="19" t="s">
        <v>49</v>
      </c>
      <c r="D24" s="42" t="str">
        <f t="shared" si="7"/>
        <v>Ekoloski Pokret Ibar</v>
      </c>
      <c r="E24" s="42" t="str">
        <f t="shared" si="8"/>
        <v>Serbia</v>
      </c>
      <c r="F24" s="18" t="s">
        <v>374</v>
      </c>
      <c r="G24" s="78" t="s">
        <v>187</v>
      </c>
      <c r="H24" s="79">
        <v>2</v>
      </c>
      <c r="I24" s="18" t="s">
        <v>387</v>
      </c>
      <c r="J24" s="14" t="s">
        <v>195</v>
      </c>
      <c r="K24" s="79">
        <v>4</v>
      </c>
      <c r="L24" s="92" t="s">
        <v>211</v>
      </c>
      <c r="M24" s="93">
        <v>3000</v>
      </c>
      <c r="N24" s="37">
        <f t="shared" si="2"/>
        <v>2400</v>
      </c>
      <c r="O24" s="37">
        <f t="shared" si="3"/>
        <v>0</v>
      </c>
      <c r="P24" s="37">
        <f t="shared" si="4"/>
        <v>960</v>
      </c>
      <c r="Q24" s="38">
        <f t="shared" si="5"/>
        <v>3360</v>
      </c>
      <c r="R24" s="91" t="str">
        <f t="shared" si="6"/>
        <v/>
      </c>
    </row>
    <row r="25" spans="2:18" s="34" customFormat="1" x14ac:dyDescent="0.3">
      <c r="B25" s="14" t="s">
        <v>124</v>
      </c>
      <c r="C25" s="19" t="s">
        <v>44</v>
      </c>
      <c r="D25" s="42" t="str">
        <f t="shared" si="7"/>
        <v>Eko Drustvo Duboko</v>
      </c>
      <c r="E25" s="42" t="str">
        <f t="shared" si="8"/>
        <v>Serbia</v>
      </c>
      <c r="F25" s="18" t="s">
        <v>388</v>
      </c>
      <c r="G25" s="78" t="s">
        <v>187</v>
      </c>
      <c r="H25" s="79">
        <v>2</v>
      </c>
      <c r="I25" s="18" t="s">
        <v>389</v>
      </c>
      <c r="J25" s="14" t="s">
        <v>196</v>
      </c>
      <c r="K25" s="79">
        <v>4</v>
      </c>
      <c r="L25" s="92" t="s">
        <v>211</v>
      </c>
      <c r="M25" s="93">
        <v>3000</v>
      </c>
      <c r="N25" s="37">
        <f t="shared" si="2"/>
        <v>2400</v>
      </c>
      <c r="O25" s="37">
        <f t="shared" si="3"/>
        <v>0</v>
      </c>
      <c r="P25" s="37">
        <f t="shared" si="4"/>
        <v>960</v>
      </c>
      <c r="Q25" s="38">
        <f t="shared" si="5"/>
        <v>3360</v>
      </c>
      <c r="R25" s="91" t="str">
        <f t="shared" si="6"/>
        <v/>
      </c>
    </row>
    <row r="26" spans="2:18" s="34" customFormat="1" x14ac:dyDescent="0.3">
      <c r="B26" s="14" t="s">
        <v>124</v>
      </c>
      <c r="C26" s="19" t="s">
        <v>36</v>
      </c>
      <c r="D26" s="42" t="str">
        <f t="shared" si="7"/>
        <v>Ozon</v>
      </c>
      <c r="E26" s="42" t="str">
        <f t="shared" si="8"/>
        <v>Montenegro</v>
      </c>
      <c r="F26" s="18" t="s">
        <v>390</v>
      </c>
      <c r="G26" s="78" t="s">
        <v>187</v>
      </c>
      <c r="H26" s="79">
        <v>2</v>
      </c>
      <c r="I26" s="18" t="s">
        <v>391</v>
      </c>
      <c r="J26" s="14" t="s">
        <v>196</v>
      </c>
      <c r="K26" s="79">
        <v>4</v>
      </c>
      <c r="L26" s="92" t="s">
        <v>211</v>
      </c>
      <c r="M26" s="93">
        <v>3000</v>
      </c>
      <c r="N26" s="37">
        <f t="shared" si="2"/>
        <v>2400</v>
      </c>
      <c r="O26" s="37">
        <f t="shared" si="3"/>
        <v>0</v>
      </c>
      <c r="P26" s="37">
        <f t="shared" si="4"/>
        <v>960</v>
      </c>
      <c r="Q26" s="38">
        <f t="shared" si="5"/>
        <v>3360</v>
      </c>
      <c r="R26" s="91" t="str">
        <f t="shared" si="6"/>
        <v/>
      </c>
    </row>
    <row r="27" spans="2:18" s="34" customFormat="1" x14ac:dyDescent="0.3">
      <c r="B27" s="14" t="s">
        <v>124</v>
      </c>
      <c r="C27" s="19" t="s">
        <v>59</v>
      </c>
      <c r="D27" s="42" t="str">
        <f t="shared" si="7"/>
        <v>Arcturos</v>
      </c>
      <c r="E27" s="42" t="str">
        <f t="shared" si="8"/>
        <v>Greece</v>
      </c>
      <c r="F27" s="18" t="s">
        <v>392</v>
      </c>
      <c r="G27" s="78" t="s">
        <v>187</v>
      </c>
      <c r="H27" s="79">
        <v>2</v>
      </c>
      <c r="I27" s="18" t="s">
        <v>393</v>
      </c>
      <c r="J27" s="14" t="s">
        <v>196</v>
      </c>
      <c r="K27" s="79">
        <v>4</v>
      </c>
      <c r="L27" s="92" t="s">
        <v>211</v>
      </c>
      <c r="M27" s="93">
        <v>3000</v>
      </c>
      <c r="N27" s="37">
        <f t="shared" si="2"/>
        <v>2400</v>
      </c>
      <c r="O27" s="37">
        <f t="shared" si="3"/>
        <v>0</v>
      </c>
      <c r="P27" s="37">
        <f t="shared" si="4"/>
        <v>960</v>
      </c>
      <c r="Q27" s="38">
        <f t="shared" si="5"/>
        <v>3360</v>
      </c>
      <c r="R27" s="91" t="str">
        <f t="shared" si="6"/>
        <v/>
      </c>
    </row>
    <row r="28" spans="2:18" s="34" customFormat="1" x14ac:dyDescent="0.3">
      <c r="B28" s="14" t="s">
        <v>124</v>
      </c>
      <c r="C28" s="19" t="s">
        <v>31</v>
      </c>
      <c r="D28" s="42" t="str">
        <f t="shared" si="7"/>
        <v>Zelena Lista Srbije</v>
      </c>
      <c r="E28" s="42" t="str">
        <f t="shared" si="8"/>
        <v>Serbia</v>
      </c>
      <c r="F28" s="18" t="s">
        <v>384</v>
      </c>
      <c r="G28" s="78" t="s">
        <v>187</v>
      </c>
      <c r="H28" s="79">
        <v>2</v>
      </c>
      <c r="I28" s="18" t="s">
        <v>394</v>
      </c>
      <c r="J28" s="14" t="s">
        <v>196</v>
      </c>
      <c r="K28" s="79">
        <v>4</v>
      </c>
      <c r="L28" s="92" t="s">
        <v>211</v>
      </c>
      <c r="M28" s="93">
        <v>3000</v>
      </c>
      <c r="N28" s="37">
        <f t="shared" si="2"/>
        <v>2400</v>
      </c>
      <c r="O28" s="37">
        <f t="shared" si="3"/>
        <v>0</v>
      </c>
      <c r="P28" s="37">
        <f t="shared" si="4"/>
        <v>960</v>
      </c>
      <c r="Q28" s="38">
        <f t="shared" si="5"/>
        <v>3360</v>
      </c>
      <c r="R28" s="91" t="str">
        <f t="shared" si="6"/>
        <v/>
      </c>
    </row>
    <row r="29" spans="2:18" s="34" customFormat="1" x14ac:dyDescent="0.3">
      <c r="B29" s="14" t="s">
        <v>124</v>
      </c>
      <c r="C29" s="19" t="s">
        <v>54</v>
      </c>
      <c r="D29" s="42" t="str">
        <f t="shared" si="7"/>
        <v>BES</v>
      </c>
      <c r="E29" s="42" t="str">
        <f t="shared" si="8"/>
        <v>Bulgaria</v>
      </c>
      <c r="F29" s="18" t="s">
        <v>395</v>
      </c>
      <c r="G29" s="78" t="s">
        <v>187</v>
      </c>
      <c r="H29" s="79">
        <v>2</v>
      </c>
      <c r="I29" s="18" t="s">
        <v>396</v>
      </c>
      <c r="J29" s="14" t="s">
        <v>196</v>
      </c>
      <c r="K29" s="79">
        <v>4</v>
      </c>
      <c r="L29" s="92" t="s">
        <v>211</v>
      </c>
      <c r="M29" s="93">
        <v>3000</v>
      </c>
      <c r="N29" s="37">
        <f t="shared" si="2"/>
        <v>2400</v>
      </c>
      <c r="O29" s="37">
        <f t="shared" si="3"/>
        <v>0</v>
      </c>
      <c r="P29" s="37">
        <f t="shared" si="4"/>
        <v>960</v>
      </c>
      <c r="Q29" s="38">
        <f t="shared" si="5"/>
        <v>3360</v>
      </c>
      <c r="R29" s="91" t="str">
        <f t="shared" si="6"/>
        <v/>
      </c>
    </row>
    <row r="30" spans="2:18" s="34" customFormat="1" x14ac:dyDescent="0.3">
      <c r="B30" s="14" t="s">
        <v>124</v>
      </c>
      <c r="C30" s="19" t="s">
        <v>46</v>
      </c>
      <c r="D30" s="42" t="str">
        <f t="shared" si="7"/>
        <v>Eko Albanija</v>
      </c>
      <c r="E30" s="42" t="str">
        <f t="shared" si="8"/>
        <v>Albania</v>
      </c>
      <c r="F30" s="18" t="s">
        <v>397</v>
      </c>
      <c r="G30" s="78" t="s">
        <v>187</v>
      </c>
      <c r="H30" s="79">
        <v>2</v>
      </c>
      <c r="I30" s="18" t="s">
        <v>385</v>
      </c>
      <c r="J30" s="14" t="s">
        <v>198</v>
      </c>
      <c r="K30" s="79">
        <v>4</v>
      </c>
      <c r="L30" s="92" t="s">
        <v>211</v>
      </c>
      <c r="M30" s="93">
        <v>3000</v>
      </c>
      <c r="N30" s="37">
        <f t="shared" ref="N30:N46" si="9">IF(AND(M30&gt;0,L30&lt;&gt;""),IF(M30&gt;(ROUND( (ROUND(ROUND(H30,0)*(VLOOKUP(J30,TravelCosts,2,FALSE)),2))/0.65,2)),ROUND(M30*0.8,2),"covered by unit cost"),0)</f>
        <v>2400</v>
      </c>
      <c r="O30" s="37">
        <f t="shared" ref="O30:O46" si="10">IF(OR(AND(L30&lt;&gt;"",M30&gt;0,ISNUMBER(N30)),R30="Error"),0,ROUND(ROUND(H30,0)*(VLOOKUP(J30,TravelCosts,2,FALSE)),2))</f>
        <v>0</v>
      </c>
      <c r="P30" s="37">
        <f t="shared" ref="P30:P46" si="11">IF(R30="Error",0,IF(AND(G30="Staff",K30&gt;0,K30&lt;15),(120*K30)*H30,IF(AND(G30="Staff",K30&gt;14,K30&lt;61),(1680+((K30-14)*70))*H30,IF(AND(G30="Staff",K30&gt;60,K30&lt;91),(4900+((K30-60)*50))*H30,IF(AND(G30="Student",K30&gt;0,K30&lt;15),(55*K30)*H30,IF(AND(G30="Student",K30&gt;14,K30&lt;91),(770+((K30-14)*40))*H30,0))))))</f>
        <v>960</v>
      </c>
      <c r="Q30" s="38">
        <f t="shared" ref="Q30:Q46" si="12">IFERROR(N30+O30+P30,O30+P30)</f>
        <v>3360</v>
      </c>
      <c r="R30" s="91" t="str">
        <f t="shared" ref="R30:R46" si="13">IF(OR(COUNTIF(WorkPackage,B30)=0,COUNTIF(PartnerN°,C30)=0,D30="",COUNTIF(CountryALL,E30)=0,F30="",COUNTIF(Category2,G30)=0,ISNUMBER(H30)=FALSE,H30&lt;=0,I30="",COUNTIF(TravelBands,J30)=0,ISNUMBER(K30)=FALSE,OR(K30&lt;0,K30&gt;90),IF(ISNUMBER(H30)=TRUE,H30=INT(H30*1)/1=FALSE),IF(ISNUMBER(K30)=TRUE,K30=INT(K30*1)/1=FALSE),AND(L30&lt;&gt;"",M30=0),AND(L30="",M30&gt;0),ISNUMBER(N30)=FALSE ),"Error","")</f>
        <v/>
      </c>
    </row>
    <row r="31" spans="2:18" s="34" customFormat="1" x14ac:dyDescent="0.3">
      <c r="B31" s="14" t="s">
        <v>124</v>
      </c>
      <c r="C31" s="19" t="s">
        <v>41</v>
      </c>
      <c r="D31" s="42" t="str">
        <f t="shared" si="7"/>
        <v xml:space="preserve">Udruga Eko </v>
      </c>
      <c r="E31" s="42" t="str">
        <f t="shared" si="8"/>
        <v>Croatia</v>
      </c>
      <c r="F31" s="18" t="s">
        <v>396</v>
      </c>
      <c r="G31" s="78" t="s">
        <v>187</v>
      </c>
      <c r="H31" s="79">
        <v>2</v>
      </c>
      <c r="I31" s="18" t="s">
        <v>398</v>
      </c>
      <c r="J31" s="14" t="s">
        <v>196</v>
      </c>
      <c r="K31" s="79">
        <v>4</v>
      </c>
      <c r="L31" s="92" t="s">
        <v>211</v>
      </c>
      <c r="M31" s="93">
        <v>3000</v>
      </c>
      <c r="N31" s="37">
        <f t="shared" si="9"/>
        <v>2400</v>
      </c>
      <c r="O31" s="37">
        <f t="shared" si="10"/>
        <v>0</v>
      </c>
      <c r="P31" s="37">
        <f t="shared" si="11"/>
        <v>960</v>
      </c>
      <c r="Q31" s="38">
        <f t="shared" si="12"/>
        <v>3360</v>
      </c>
      <c r="R31" s="91" t="str">
        <f t="shared" si="13"/>
        <v/>
      </c>
    </row>
    <row r="32" spans="2:18" s="34" customFormat="1" x14ac:dyDescent="0.3">
      <c r="B32" s="14" t="s">
        <v>124</v>
      </c>
      <c r="C32" s="19" t="s">
        <v>51</v>
      </c>
      <c r="D32" s="42" t="str">
        <f t="shared" si="7"/>
        <v xml:space="preserve">BUND </v>
      </c>
      <c r="E32" s="42" t="str">
        <f t="shared" si="8"/>
        <v>Germany</v>
      </c>
      <c r="F32" s="18" t="s">
        <v>377</v>
      </c>
      <c r="G32" s="78" t="s">
        <v>187</v>
      </c>
      <c r="H32" s="79">
        <v>2</v>
      </c>
      <c r="I32" s="18" t="s">
        <v>399</v>
      </c>
      <c r="J32" s="14" t="s">
        <v>198</v>
      </c>
      <c r="K32" s="79">
        <v>4</v>
      </c>
      <c r="L32" s="92" t="s">
        <v>211</v>
      </c>
      <c r="M32" s="93">
        <v>3000</v>
      </c>
      <c r="N32" s="37">
        <f t="shared" si="9"/>
        <v>2400</v>
      </c>
      <c r="O32" s="37">
        <f t="shared" si="10"/>
        <v>0</v>
      </c>
      <c r="P32" s="37">
        <f t="shared" si="11"/>
        <v>960</v>
      </c>
      <c r="Q32" s="38">
        <f t="shared" si="12"/>
        <v>3360</v>
      </c>
      <c r="R32" s="91" t="str">
        <f t="shared" si="13"/>
        <v/>
      </c>
    </row>
    <row r="33" spans="2:18" s="34" customFormat="1" x14ac:dyDescent="0.3">
      <c r="B33" s="14" t="s">
        <v>124</v>
      </c>
      <c r="C33" s="19" t="s">
        <v>33</v>
      </c>
      <c r="D33" s="42" t="str">
        <f t="shared" si="7"/>
        <v xml:space="preserve">TURMEPA </v>
      </c>
      <c r="E33" s="42" t="str">
        <f t="shared" si="8"/>
        <v>Turkey</v>
      </c>
      <c r="F33" s="18" t="s">
        <v>400</v>
      </c>
      <c r="G33" s="78" t="s">
        <v>187</v>
      </c>
      <c r="H33" s="79">
        <v>2</v>
      </c>
      <c r="I33" s="18" t="s">
        <v>401</v>
      </c>
      <c r="J33" s="14" t="s">
        <v>200</v>
      </c>
      <c r="K33" s="79">
        <v>4</v>
      </c>
      <c r="L33" s="92" t="s">
        <v>211</v>
      </c>
      <c r="M33" s="93">
        <v>3000</v>
      </c>
      <c r="N33" s="37">
        <f t="shared" si="9"/>
        <v>2400</v>
      </c>
      <c r="O33" s="37">
        <f t="shared" si="10"/>
        <v>0</v>
      </c>
      <c r="P33" s="37">
        <f t="shared" si="11"/>
        <v>960</v>
      </c>
      <c r="Q33" s="38">
        <f t="shared" si="12"/>
        <v>3360</v>
      </c>
      <c r="R33" s="91" t="str">
        <f t="shared" si="13"/>
        <v/>
      </c>
    </row>
    <row r="34" spans="2:18" s="34" customFormat="1" x14ac:dyDescent="0.3">
      <c r="B34" s="14" t="s">
        <v>124</v>
      </c>
      <c r="C34" s="19" t="s">
        <v>44</v>
      </c>
      <c r="D34" s="42" t="str">
        <f t="shared" si="7"/>
        <v>Eko Drustvo Duboko</v>
      </c>
      <c r="E34" s="42" t="str">
        <f t="shared" si="8"/>
        <v>Serbia</v>
      </c>
      <c r="F34" s="18" t="s">
        <v>402</v>
      </c>
      <c r="G34" s="78" t="s">
        <v>187</v>
      </c>
      <c r="H34" s="79">
        <v>2</v>
      </c>
      <c r="I34" s="18" t="s">
        <v>403</v>
      </c>
      <c r="J34" s="14" t="s">
        <v>196</v>
      </c>
      <c r="K34" s="79">
        <v>4</v>
      </c>
      <c r="L34" s="92" t="s">
        <v>211</v>
      </c>
      <c r="M34" s="93">
        <v>3000</v>
      </c>
      <c r="N34" s="37">
        <f t="shared" si="9"/>
        <v>2400</v>
      </c>
      <c r="O34" s="37">
        <f t="shared" si="10"/>
        <v>0</v>
      </c>
      <c r="P34" s="37">
        <f t="shared" si="11"/>
        <v>960</v>
      </c>
      <c r="Q34" s="38">
        <f t="shared" si="12"/>
        <v>3360</v>
      </c>
      <c r="R34" s="91" t="str">
        <f t="shared" si="13"/>
        <v/>
      </c>
    </row>
    <row r="35" spans="2:18" s="34" customFormat="1" x14ac:dyDescent="0.3">
      <c r="B35" s="14" t="s">
        <v>124</v>
      </c>
      <c r="C35" s="19" t="s">
        <v>31</v>
      </c>
      <c r="D35" s="42" t="str">
        <f t="shared" si="7"/>
        <v>Zelena Lista Srbije</v>
      </c>
      <c r="E35" s="42" t="str">
        <f t="shared" si="8"/>
        <v>Serbia</v>
      </c>
      <c r="F35" s="18" t="s">
        <v>388</v>
      </c>
      <c r="G35" s="78" t="s">
        <v>186</v>
      </c>
      <c r="H35" s="79">
        <v>8</v>
      </c>
      <c r="I35" s="18" t="s">
        <v>374</v>
      </c>
      <c r="J35" s="14" t="s">
        <v>195</v>
      </c>
      <c r="K35" s="79">
        <v>25</v>
      </c>
      <c r="L35" s="92" t="s">
        <v>211</v>
      </c>
      <c r="M35" s="93">
        <v>5000</v>
      </c>
      <c r="N35" s="37">
        <f t="shared" si="9"/>
        <v>4000</v>
      </c>
      <c r="O35" s="37">
        <f t="shared" si="10"/>
        <v>0</v>
      </c>
      <c r="P35" s="37">
        <f t="shared" si="11"/>
        <v>9680</v>
      </c>
      <c r="Q35" s="38">
        <f t="shared" si="12"/>
        <v>13680</v>
      </c>
      <c r="R35" s="91" t="str">
        <f t="shared" si="13"/>
        <v/>
      </c>
    </row>
    <row r="36" spans="2:18" s="34" customFormat="1" x14ac:dyDescent="0.3">
      <c r="B36" s="14" t="s">
        <v>124</v>
      </c>
      <c r="C36" s="19" t="s">
        <v>59</v>
      </c>
      <c r="D36" s="42" t="str">
        <f t="shared" si="7"/>
        <v>Arcturos</v>
      </c>
      <c r="E36" s="42" t="str">
        <f t="shared" si="8"/>
        <v>Greece</v>
      </c>
      <c r="F36" s="18" t="s">
        <v>404</v>
      </c>
      <c r="G36" s="78" t="s">
        <v>186</v>
      </c>
      <c r="H36" s="79">
        <v>8</v>
      </c>
      <c r="I36" s="18" t="s">
        <v>374</v>
      </c>
      <c r="J36" s="14" t="s">
        <v>196</v>
      </c>
      <c r="K36" s="79">
        <v>25</v>
      </c>
      <c r="L36" s="92" t="s">
        <v>211</v>
      </c>
      <c r="M36" s="93">
        <v>5000</v>
      </c>
      <c r="N36" s="37">
        <f t="shared" si="9"/>
        <v>4000</v>
      </c>
      <c r="O36" s="37">
        <f t="shared" si="10"/>
        <v>0</v>
      </c>
      <c r="P36" s="37">
        <f t="shared" si="11"/>
        <v>9680</v>
      </c>
      <c r="Q36" s="38">
        <f t="shared" si="12"/>
        <v>13680</v>
      </c>
      <c r="R36" s="91" t="str">
        <f t="shared" si="13"/>
        <v/>
      </c>
    </row>
    <row r="37" spans="2:18" s="136" customFormat="1" x14ac:dyDescent="0.3">
      <c r="B37" s="116" t="s">
        <v>124</v>
      </c>
      <c r="C37" s="134" t="s">
        <v>33</v>
      </c>
      <c r="D37" s="139" t="str">
        <f t="shared" si="7"/>
        <v xml:space="preserve">TURMEPA </v>
      </c>
      <c r="E37" s="139" t="str">
        <f t="shared" si="8"/>
        <v>Turkey</v>
      </c>
      <c r="F37" s="133" t="s">
        <v>424</v>
      </c>
      <c r="G37" s="78" t="s">
        <v>186</v>
      </c>
      <c r="H37" s="79">
        <v>8</v>
      </c>
      <c r="I37" s="133" t="s">
        <v>374</v>
      </c>
      <c r="J37" s="116" t="s">
        <v>198</v>
      </c>
      <c r="K37" s="79">
        <v>25</v>
      </c>
      <c r="L37" s="92" t="s">
        <v>211</v>
      </c>
      <c r="M37" s="93">
        <v>5000</v>
      </c>
      <c r="N37" s="37">
        <f t="shared" si="9"/>
        <v>4000</v>
      </c>
      <c r="O37" s="37">
        <f t="shared" si="10"/>
        <v>0</v>
      </c>
      <c r="P37" s="37">
        <f t="shared" si="11"/>
        <v>9680</v>
      </c>
      <c r="Q37" s="38">
        <f t="shared" si="12"/>
        <v>13680</v>
      </c>
      <c r="R37" s="91" t="str">
        <f t="shared" si="13"/>
        <v/>
      </c>
    </row>
    <row r="38" spans="2:18" s="136" customFormat="1" x14ac:dyDescent="0.3">
      <c r="B38" s="116" t="s">
        <v>124</v>
      </c>
      <c r="C38" s="134" t="s">
        <v>57</v>
      </c>
      <c r="D38" s="139" t="str">
        <f t="shared" si="7"/>
        <v xml:space="preserve">Zeleni Kljuc </v>
      </c>
      <c r="E38" s="139" t="str">
        <f t="shared" si="8"/>
        <v>Serbia</v>
      </c>
      <c r="F38" s="133" t="s">
        <v>425</v>
      </c>
      <c r="G38" s="78" t="s">
        <v>186</v>
      </c>
      <c r="H38" s="79">
        <v>8</v>
      </c>
      <c r="I38" s="133" t="s">
        <v>374</v>
      </c>
      <c r="J38" s="116" t="s">
        <v>195</v>
      </c>
      <c r="K38" s="79">
        <v>25</v>
      </c>
      <c r="L38" s="92" t="s">
        <v>211</v>
      </c>
      <c r="M38" s="93">
        <v>5000</v>
      </c>
      <c r="N38" s="37">
        <f t="shared" si="9"/>
        <v>4000</v>
      </c>
      <c r="O38" s="37">
        <f t="shared" si="10"/>
        <v>0</v>
      </c>
      <c r="P38" s="37">
        <f t="shared" si="11"/>
        <v>9680</v>
      </c>
      <c r="Q38" s="38">
        <f t="shared" si="12"/>
        <v>13680</v>
      </c>
      <c r="R38" s="91" t="str">
        <f t="shared" si="13"/>
        <v/>
      </c>
    </row>
    <row r="39" spans="2:18" s="136" customFormat="1" x14ac:dyDescent="0.3">
      <c r="B39" s="116" t="s">
        <v>124</v>
      </c>
      <c r="C39" s="134" t="s">
        <v>36</v>
      </c>
      <c r="D39" s="139" t="str">
        <f t="shared" si="7"/>
        <v>Ozon</v>
      </c>
      <c r="E39" s="139" t="str">
        <f t="shared" si="8"/>
        <v>Montenegro</v>
      </c>
      <c r="F39" s="133" t="s">
        <v>394</v>
      </c>
      <c r="G39" s="78" t="s">
        <v>186</v>
      </c>
      <c r="H39" s="79">
        <v>8</v>
      </c>
      <c r="I39" s="133" t="s">
        <v>374</v>
      </c>
      <c r="J39" s="116" t="s">
        <v>193</v>
      </c>
      <c r="K39" s="79">
        <v>25</v>
      </c>
      <c r="L39" s="92" t="s">
        <v>211</v>
      </c>
      <c r="M39" s="93">
        <v>5000</v>
      </c>
      <c r="N39" s="37">
        <f t="shared" si="9"/>
        <v>4000</v>
      </c>
      <c r="O39" s="37">
        <f t="shared" si="10"/>
        <v>0</v>
      </c>
      <c r="P39" s="37">
        <f t="shared" si="11"/>
        <v>9680</v>
      </c>
      <c r="Q39" s="38">
        <f t="shared" si="12"/>
        <v>13680</v>
      </c>
      <c r="R39" s="91" t="str">
        <f t="shared" si="13"/>
        <v/>
      </c>
    </row>
    <row r="40" spans="2:18" s="136" customFormat="1" x14ac:dyDescent="0.3">
      <c r="B40" s="116" t="s">
        <v>124</v>
      </c>
      <c r="C40" s="134" t="s">
        <v>54</v>
      </c>
      <c r="D40" s="139" t="str">
        <f t="shared" si="7"/>
        <v>BES</v>
      </c>
      <c r="E40" s="139" t="str">
        <f t="shared" si="8"/>
        <v>Bulgaria</v>
      </c>
      <c r="F40" s="133" t="s">
        <v>426</v>
      </c>
      <c r="G40" s="78" t="s">
        <v>186</v>
      </c>
      <c r="H40" s="79">
        <v>8</v>
      </c>
      <c r="I40" s="133" t="s">
        <v>374</v>
      </c>
      <c r="J40" s="116" t="s">
        <v>196</v>
      </c>
      <c r="K40" s="79">
        <v>25</v>
      </c>
      <c r="L40" s="92" t="s">
        <v>211</v>
      </c>
      <c r="M40" s="93">
        <v>5000</v>
      </c>
      <c r="N40" s="37">
        <f t="shared" si="9"/>
        <v>4000</v>
      </c>
      <c r="O40" s="37">
        <f t="shared" si="10"/>
        <v>0</v>
      </c>
      <c r="P40" s="37">
        <f t="shared" si="11"/>
        <v>9680</v>
      </c>
      <c r="Q40" s="38">
        <f t="shared" si="12"/>
        <v>13680</v>
      </c>
      <c r="R40" s="91" t="str">
        <f t="shared" si="13"/>
        <v/>
      </c>
    </row>
    <row r="41" spans="2:18" s="136" customFormat="1" x14ac:dyDescent="0.3">
      <c r="B41" s="116" t="s">
        <v>124</v>
      </c>
      <c r="C41" s="134" t="s">
        <v>39</v>
      </c>
      <c r="D41" s="139" t="str">
        <f t="shared" si="7"/>
        <v>Eko Centar Srbija</v>
      </c>
      <c r="E41" s="139" t="str">
        <f t="shared" si="8"/>
        <v>Serbia</v>
      </c>
      <c r="F41" s="133" t="s">
        <v>427</v>
      </c>
      <c r="G41" s="78" t="s">
        <v>186</v>
      </c>
      <c r="H41" s="79">
        <v>8</v>
      </c>
      <c r="I41" s="133" t="s">
        <v>374</v>
      </c>
      <c r="J41" s="116" t="s">
        <v>195</v>
      </c>
      <c r="K41" s="79">
        <v>25</v>
      </c>
      <c r="L41" s="92" t="s">
        <v>211</v>
      </c>
      <c r="M41" s="93">
        <v>5000</v>
      </c>
      <c r="N41" s="37">
        <f t="shared" si="9"/>
        <v>4000</v>
      </c>
      <c r="O41" s="37">
        <f t="shared" si="10"/>
        <v>0</v>
      </c>
      <c r="P41" s="37">
        <f t="shared" si="11"/>
        <v>9680</v>
      </c>
      <c r="Q41" s="38">
        <f t="shared" si="12"/>
        <v>13680</v>
      </c>
      <c r="R41" s="91" t="str">
        <f t="shared" si="13"/>
        <v/>
      </c>
    </row>
    <row r="42" spans="2:18" s="136" customFormat="1" x14ac:dyDescent="0.3">
      <c r="B42" s="116" t="s">
        <v>124</v>
      </c>
      <c r="C42" s="134" t="s">
        <v>51</v>
      </c>
      <c r="D42" s="139" t="str">
        <f t="shared" si="7"/>
        <v xml:space="preserve">BUND </v>
      </c>
      <c r="E42" s="139" t="str">
        <f t="shared" si="8"/>
        <v>Germany</v>
      </c>
      <c r="F42" s="133" t="s">
        <v>385</v>
      </c>
      <c r="G42" s="78" t="s">
        <v>186</v>
      </c>
      <c r="H42" s="79">
        <v>8</v>
      </c>
      <c r="I42" s="133" t="s">
        <v>374</v>
      </c>
      <c r="J42" s="116" t="s">
        <v>198</v>
      </c>
      <c r="K42" s="79">
        <v>25</v>
      </c>
      <c r="L42" s="92" t="s">
        <v>211</v>
      </c>
      <c r="M42" s="93">
        <v>5000</v>
      </c>
      <c r="N42" s="37">
        <f t="shared" si="9"/>
        <v>4000</v>
      </c>
      <c r="O42" s="37">
        <f t="shared" si="10"/>
        <v>0</v>
      </c>
      <c r="P42" s="37">
        <f t="shared" si="11"/>
        <v>9680</v>
      </c>
      <c r="Q42" s="38">
        <f t="shared" si="12"/>
        <v>13680</v>
      </c>
      <c r="R42" s="91" t="str">
        <f t="shared" si="13"/>
        <v/>
      </c>
    </row>
    <row r="43" spans="2:18" s="136" customFormat="1" x14ac:dyDescent="0.3">
      <c r="B43" s="116" t="s">
        <v>124</v>
      </c>
      <c r="C43" s="134" t="s">
        <v>41</v>
      </c>
      <c r="D43" s="139" t="str">
        <f t="shared" si="7"/>
        <v xml:space="preserve">Udruga Eko </v>
      </c>
      <c r="E43" s="139" t="str">
        <f t="shared" si="8"/>
        <v>Croatia</v>
      </c>
      <c r="F43" s="133" t="s">
        <v>383</v>
      </c>
      <c r="G43" s="78" t="s">
        <v>186</v>
      </c>
      <c r="H43" s="79">
        <v>8</v>
      </c>
      <c r="I43" s="133" t="s">
        <v>374</v>
      </c>
      <c r="J43" s="116" t="s">
        <v>196</v>
      </c>
      <c r="K43" s="79">
        <v>25</v>
      </c>
      <c r="L43" s="92" t="s">
        <v>211</v>
      </c>
      <c r="M43" s="93">
        <v>5000</v>
      </c>
      <c r="N43" s="37">
        <f t="shared" si="9"/>
        <v>4000</v>
      </c>
      <c r="O43" s="37">
        <f t="shared" si="10"/>
        <v>0</v>
      </c>
      <c r="P43" s="37">
        <f t="shared" si="11"/>
        <v>9680</v>
      </c>
      <c r="Q43" s="38">
        <f t="shared" si="12"/>
        <v>13680</v>
      </c>
      <c r="R43" s="91" t="str">
        <f t="shared" si="13"/>
        <v/>
      </c>
    </row>
    <row r="44" spans="2:18" s="136" customFormat="1" x14ac:dyDescent="0.3">
      <c r="B44" s="116" t="s">
        <v>124</v>
      </c>
      <c r="C44" s="134" t="s">
        <v>46</v>
      </c>
      <c r="D44" s="139" t="str">
        <f t="shared" si="7"/>
        <v>Eko Albanija</v>
      </c>
      <c r="E44" s="139" t="str">
        <f t="shared" si="8"/>
        <v>Albania</v>
      </c>
      <c r="F44" s="133" t="s">
        <v>378</v>
      </c>
      <c r="G44" s="78" t="s">
        <v>186</v>
      </c>
      <c r="H44" s="79">
        <v>8</v>
      </c>
      <c r="I44" s="133" t="s">
        <v>374</v>
      </c>
      <c r="J44" s="116" t="s">
        <v>196</v>
      </c>
      <c r="K44" s="79">
        <v>25</v>
      </c>
      <c r="L44" s="92" t="s">
        <v>211</v>
      </c>
      <c r="M44" s="93">
        <v>5000</v>
      </c>
      <c r="N44" s="37">
        <f t="shared" si="9"/>
        <v>4000</v>
      </c>
      <c r="O44" s="37">
        <f t="shared" si="10"/>
        <v>0</v>
      </c>
      <c r="P44" s="37">
        <f t="shared" si="11"/>
        <v>9680</v>
      </c>
      <c r="Q44" s="38">
        <f t="shared" si="12"/>
        <v>13680</v>
      </c>
      <c r="R44" s="91" t="str">
        <f t="shared" si="13"/>
        <v/>
      </c>
    </row>
    <row r="45" spans="2:18" s="136" customFormat="1" x14ac:dyDescent="0.3">
      <c r="B45" s="116" t="s">
        <v>125</v>
      </c>
      <c r="C45" s="134" t="s">
        <v>51</v>
      </c>
      <c r="D45" s="139" t="str">
        <f t="shared" si="7"/>
        <v xml:space="preserve">BUND </v>
      </c>
      <c r="E45" s="139" t="str">
        <f t="shared" si="8"/>
        <v>Germany</v>
      </c>
      <c r="F45" s="133" t="s">
        <v>389</v>
      </c>
      <c r="G45" s="78" t="s">
        <v>187</v>
      </c>
      <c r="H45" s="79">
        <v>15</v>
      </c>
      <c r="I45" s="133" t="s">
        <v>374</v>
      </c>
      <c r="J45" s="116" t="s">
        <v>196</v>
      </c>
      <c r="K45" s="79">
        <v>40</v>
      </c>
      <c r="L45" s="92"/>
      <c r="M45" s="93"/>
      <c r="N45" s="37">
        <f t="shared" si="9"/>
        <v>0</v>
      </c>
      <c r="O45" s="37">
        <f t="shared" si="10"/>
        <v>4125</v>
      </c>
      <c r="P45" s="37">
        <f t="shared" si="11"/>
        <v>52500</v>
      </c>
      <c r="Q45" s="38">
        <f t="shared" si="12"/>
        <v>56625</v>
      </c>
      <c r="R45" s="91" t="str">
        <f t="shared" si="13"/>
        <v/>
      </c>
    </row>
    <row r="46" spans="2:18" s="136" customFormat="1" x14ac:dyDescent="0.3">
      <c r="B46" s="116" t="s">
        <v>127</v>
      </c>
      <c r="C46" s="134" t="s">
        <v>33</v>
      </c>
      <c r="D46" s="139" t="str">
        <f t="shared" si="7"/>
        <v xml:space="preserve">TURMEPA </v>
      </c>
      <c r="E46" s="139" t="str">
        <f t="shared" si="8"/>
        <v>Turkey</v>
      </c>
      <c r="F46" s="133" t="s">
        <v>428</v>
      </c>
      <c r="G46" s="78" t="s">
        <v>187</v>
      </c>
      <c r="H46" s="79">
        <v>15</v>
      </c>
      <c r="I46" s="133" t="s">
        <v>374</v>
      </c>
      <c r="J46" s="116" t="s">
        <v>196</v>
      </c>
      <c r="K46" s="79">
        <v>40</v>
      </c>
      <c r="L46" s="92"/>
      <c r="M46" s="93"/>
      <c r="N46" s="37">
        <f t="shared" si="9"/>
        <v>0</v>
      </c>
      <c r="O46" s="37">
        <f t="shared" si="10"/>
        <v>4125</v>
      </c>
      <c r="P46" s="37">
        <f t="shared" si="11"/>
        <v>52500</v>
      </c>
      <c r="Q46" s="38">
        <f t="shared" si="12"/>
        <v>56625</v>
      </c>
      <c r="R46" s="91" t="str">
        <f t="shared" si="13"/>
        <v/>
      </c>
    </row>
    <row r="48" spans="2:18" x14ac:dyDescent="0.35">
      <c r="M48" s="96"/>
    </row>
    <row r="50" spans="12:15" x14ac:dyDescent="0.35">
      <c r="L50" s="95"/>
      <c r="M50" s="95"/>
    </row>
    <row r="51" spans="12:15" x14ac:dyDescent="0.35">
      <c r="M51" s="95"/>
      <c r="N51" s="95"/>
      <c r="O51" s="95"/>
    </row>
  </sheetData>
  <sheetProtection password="AD90" sheet="1" objects="1" scenarios="1"/>
  <dataConsolidate/>
  <mergeCells count="17">
    <mergeCell ref="B6:C6"/>
    <mergeCell ref="B5:C5"/>
    <mergeCell ref="B4:C4"/>
    <mergeCell ref="B10:C10"/>
    <mergeCell ref="L4:N4"/>
    <mergeCell ref="B2:R2"/>
    <mergeCell ref="F8:F9"/>
    <mergeCell ref="F6:F7"/>
    <mergeCell ref="F4:F5"/>
    <mergeCell ref="B9:C9"/>
    <mergeCell ref="B8:C8"/>
    <mergeCell ref="B7:C7"/>
    <mergeCell ref="L5:N11"/>
    <mergeCell ref="B3:R3"/>
    <mergeCell ref="E8:E9"/>
    <mergeCell ref="E6:E7"/>
    <mergeCell ref="E4:E5"/>
  </mergeCells>
  <conditionalFormatting sqref="R13:R19">
    <cfRule type="containsText" dxfId="419" priority="1847" operator="containsText" text="Error">
      <formula>NOT(ISERROR(SEARCH("Error",R13)))</formula>
    </cfRule>
  </conditionalFormatting>
  <conditionalFormatting sqref="D13:E19">
    <cfRule type="containsBlanks" dxfId="418" priority="1845">
      <formula>LEN(TRIM(D13))=0</formula>
    </cfRule>
  </conditionalFormatting>
  <conditionalFormatting sqref="O4:Q4">
    <cfRule type="cellIs" dxfId="417" priority="1593" operator="equal">
      <formula>"EXCEEDING 80% OF TOTAL TRAVEL COSTS"</formula>
    </cfRule>
  </conditionalFormatting>
  <conditionalFormatting sqref="H13:H19 K13:K19">
    <cfRule type="expression" dxfId="416" priority="1585">
      <formula>ISNUMBER(H13)=FALSE</formula>
    </cfRule>
  </conditionalFormatting>
  <conditionalFormatting sqref="F13:K19 B13:C19">
    <cfRule type="containsBlanks" dxfId="415" priority="510">
      <formula>LEN(TRIM(B13))=0</formula>
    </cfRule>
  </conditionalFormatting>
  <conditionalFormatting sqref="K13:K19">
    <cfRule type="cellIs" dxfId="414" priority="505" operator="lessThan">
      <formula>0</formula>
    </cfRule>
    <cfRule type="cellIs" dxfId="413" priority="1590" operator="equal">
      <formula>0</formula>
    </cfRule>
  </conditionalFormatting>
  <conditionalFormatting sqref="H13:H19">
    <cfRule type="cellIs" dxfId="412" priority="1581" operator="lessThanOrEqual">
      <formula>0</formula>
    </cfRule>
  </conditionalFormatting>
  <conditionalFormatting sqref="M14 M19">
    <cfRule type="expression" dxfId="411" priority="483">
      <formula>AND(M14=0,L14&lt;&gt;"")</formula>
    </cfRule>
  </conditionalFormatting>
  <conditionalFormatting sqref="L14 L19">
    <cfRule type="expression" dxfId="410" priority="485">
      <formula>AND(L14="",M14&gt;0)</formula>
    </cfRule>
  </conditionalFormatting>
  <conditionalFormatting sqref="L13:M19">
    <cfRule type="cellIs" dxfId="409" priority="486" operator="equal">
      <formula>0</formula>
    </cfRule>
  </conditionalFormatting>
  <conditionalFormatting sqref="M13">
    <cfRule type="expression" dxfId="408" priority="475">
      <formula>AND(M13=0,L13&lt;&gt;"")</formula>
    </cfRule>
  </conditionalFormatting>
  <conditionalFormatting sqref="L13">
    <cfRule type="expression" dxfId="407" priority="476">
      <formula>AND(L13="",M13&gt;0)</formula>
    </cfRule>
  </conditionalFormatting>
  <conditionalFormatting sqref="N13:N19">
    <cfRule type="expression" dxfId="406" priority="463">
      <formula>ISNUMBER(N13)=FALSE</formula>
    </cfRule>
  </conditionalFormatting>
  <conditionalFormatting sqref="M15">
    <cfRule type="expression" dxfId="405" priority="377">
      <formula>AND(M15=0,L15&lt;&gt;"")</formula>
    </cfRule>
  </conditionalFormatting>
  <conditionalFormatting sqref="L15">
    <cfRule type="expression" dxfId="404" priority="378">
      <formula>AND(L15="",M15&gt;0)</formula>
    </cfRule>
  </conditionalFormatting>
  <conditionalFormatting sqref="M16">
    <cfRule type="expression" dxfId="403" priority="365">
      <formula>AND(M16=0,L16&lt;&gt;"")</formula>
    </cfRule>
  </conditionalFormatting>
  <conditionalFormatting sqref="L16">
    <cfRule type="expression" dxfId="402" priority="366">
      <formula>AND(L16="",M16&gt;0)</formula>
    </cfRule>
  </conditionalFormatting>
  <conditionalFormatting sqref="M17">
    <cfRule type="expression" dxfId="401" priority="353">
      <formula>AND(M17=0,L17&lt;&gt;"")</formula>
    </cfRule>
  </conditionalFormatting>
  <conditionalFormatting sqref="L17">
    <cfRule type="expression" dxfId="400" priority="354">
      <formula>AND(L17="",M17&gt;0)</formula>
    </cfRule>
  </conditionalFormatting>
  <conditionalFormatting sqref="M18">
    <cfRule type="expression" dxfId="399" priority="341">
      <formula>AND(M18=0,L18&lt;&gt;"")</formula>
    </cfRule>
  </conditionalFormatting>
  <conditionalFormatting sqref="L18">
    <cfRule type="expression" dxfId="398" priority="342">
      <formula>AND(L18="",M18&gt;0)</formula>
    </cfRule>
  </conditionalFormatting>
  <conditionalFormatting sqref="D20:E20">
    <cfRule type="containsBlanks" dxfId="397" priority="326">
      <formula>LEN(TRIM(D20))=0</formula>
    </cfRule>
  </conditionalFormatting>
  <conditionalFormatting sqref="H20 K20">
    <cfRule type="expression" dxfId="396" priority="324">
      <formula>ISNUMBER(H20)=FALSE</formula>
    </cfRule>
  </conditionalFormatting>
  <conditionalFormatting sqref="F20:K20">
    <cfRule type="containsBlanks" dxfId="395" priority="321">
      <formula>LEN(TRIM(F20))=0</formula>
    </cfRule>
  </conditionalFormatting>
  <conditionalFormatting sqref="B20:C20">
    <cfRule type="containsBlanks" dxfId="394" priority="322">
      <formula>LEN(TRIM(B20))=0</formula>
    </cfRule>
  </conditionalFormatting>
  <conditionalFormatting sqref="K20">
    <cfRule type="cellIs" dxfId="393" priority="320" operator="lessThan">
      <formula>0</formula>
    </cfRule>
    <cfRule type="cellIs" dxfId="392" priority="325" operator="equal">
      <formula>0</formula>
    </cfRule>
  </conditionalFormatting>
  <conditionalFormatting sqref="H20">
    <cfRule type="cellIs" dxfId="391" priority="323" operator="lessThanOrEqual">
      <formula>0</formula>
    </cfRule>
  </conditionalFormatting>
  <conditionalFormatting sqref="M20">
    <cfRule type="expression" dxfId="390" priority="317">
      <formula>AND(M20=0,L20&lt;&gt;"")</formula>
    </cfRule>
  </conditionalFormatting>
  <conditionalFormatting sqref="L20">
    <cfRule type="expression" dxfId="389" priority="318">
      <formula>AND(L20="",M20&gt;0)</formula>
    </cfRule>
  </conditionalFormatting>
  <conditionalFormatting sqref="L20:M20">
    <cfRule type="cellIs" dxfId="388" priority="319" operator="equal">
      <formula>0</formula>
    </cfRule>
  </conditionalFormatting>
  <conditionalFormatting sqref="R20">
    <cfRule type="containsText" dxfId="387" priority="316" operator="containsText" text="Error">
      <formula>NOT(ISERROR(SEARCH("Error",R20)))</formula>
    </cfRule>
  </conditionalFormatting>
  <conditionalFormatting sqref="N20">
    <cfRule type="expression" dxfId="386" priority="315">
      <formula>ISNUMBER(N20)=FALSE</formula>
    </cfRule>
  </conditionalFormatting>
  <conditionalFormatting sqref="D21:E21">
    <cfRule type="containsBlanks" dxfId="385" priority="314">
      <formula>LEN(TRIM(D21))=0</formula>
    </cfRule>
  </conditionalFormatting>
  <conditionalFormatting sqref="H21 K21">
    <cfRule type="expression" dxfId="384" priority="312">
      <formula>ISNUMBER(H21)=FALSE</formula>
    </cfRule>
  </conditionalFormatting>
  <conditionalFormatting sqref="F21:K21">
    <cfRule type="containsBlanks" dxfId="383" priority="309">
      <formula>LEN(TRIM(F21))=0</formula>
    </cfRule>
  </conditionalFormatting>
  <conditionalFormatting sqref="B21:C21">
    <cfRule type="containsBlanks" dxfId="382" priority="310">
      <formula>LEN(TRIM(B21))=0</formula>
    </cfRule>
  </conditionalFormatting>
  <conditionalFormatting sqref="K21">
    <cfRule type="cellIs" dxfId="381" priority="308" operator="lessThan">
      <formula>0</formula>
    </cfRule>
    <cfRule type="cellIs" dxfId="380" priority="313" operator="equal">
      <formula>0</formula>
    </cfRule>
  </conditionalFormatting>
  <conditionalFormatting sqref="H21">
    <cfRule type="cellIs" dxfId="379" priority="311" operator="lessThanOrEqual">
      <formula>0</formula>
    </cfRule>
  </conditionalFormatting>
  <conditionalFormatting sqref="M21">
    <cfRule type="expression" dxfId="378" priority="305">
      <formula>AND(M21=0,L21&lt;&gt;"")</formula>
    </cfRule>
  </conditionalFormatting>
  <conditionalFormatting sqref="L21">
    <cfRule type="expression" dxfId="377" priority="306">
      <formula>AND(L21="",M21&gt;0)</formula>
    </cfRule>
  </conditionalFormatting>
  <conditionalFormatting sqref="L21:M21">
    <cfRule type="cellIs" dxfId="376" priority="307" operator="equal">
      <formula>0</formula>
    </cfRule>
  </conditionalFormatting>
  <conditionalFormatting sqref="R21">
    <cfRule type="containsText" dxfId="375" priority="304" operator="containsText" text="Error">
      <formula>NOT(ISERROR(SEARCH("Error",R21)))</formula>
    </cfRule>
  </conditionalFormatting>
  <conditionalFormatting sqref="N21">
    <cfRule type="expression" dxfId="374" priority="303">
      <formula>ISNUMBER(N21)=FALSE</formula>
    </cfRule>
  </conditionalFormatting>
  <conditionalFormatting sqref="D22:E22">
    <cfRule type="containsBlanks" dxfId="373" priority="302">
      <formula>LEN(TRIM(D22))=0</formula>
    </cfRule>
  </conditionalFormatting>
  <conditionalFormatting sqref="H22 K22">
    <cfRule type="expression" dxfId="372" priority="300">
      <formula>ISNUMBER(H22)=FALSE</formula>
    </cfRule>
  </conditionalFormatting>
  <conditionalFormatting sqref="F22:K22">
    <cfRule type="containsBlanks" dxfId="371" priority="297">
      <formula>LEN(TRIM(F22))=0</formula>
    </cfRule>
  </conditionalFormatting>
  <conditionalFormatting sqref="B22:C22">
    <cfRule type="containsBlanks" dxfId="370" priority="298">
      <formula>LEN(TRIM(B22))=0</formula>
    </cfRule>
  </conditionalFormatting>
  <conditionalFormatting sqref="K22">
    <cfRule type="cellIs" dxfId="369" priority="296" operator="lessThan">
      <formula>0</formula>
    </cfRule>
    <cfRule type="cellIs" dxfId="368" priority="301" operator="equal">
      <formula>0</formula>
    </cfRule>
  </conditionalFormatting>
  <conditionalFormatting sqref="H22">
    <cfRule type="cellIs" dxfId="367" priority="299" operator="lessThanOrEqual">
      <formula>0</formula>
    </cfRule>
  </conditionalFormatting>
  <conditionalFormatting sqref="M22">
    <cfRule type="expression" dxfId="366" priority="293">
      <formula>AND(M22=0,L22&lt;&gt;"")</formula>
    </cfRule>
  </conditionalFormatting>
  <conditionalFormatting sqref="L22">
    <cfRule type="expression" dxfId="365" priority="294">
      <formula>AND(L22="",M22&gt;0)</formula>
    </cfRule>
  </conditionalFormatting>
  <conditionalFormatting sqref="L22:M22">
    <cfRule type="cellIs" dxfId="364" priority="295" operator="equal">
      <formula>0</formula>
    </cfRule>
  </conditionalFormatting>
  <conditionalFormatting sqref="R22">
    <cfRule type="containsText" dxfId="363" priority="292" operator="containsText" text="Error">
      <formula>NOT(ISERROR(SEARCH("Error",R22)))</formula>
    </cfRule>
  </conditionalFormatting>
  <conditionalFormatting sqref="N22">
    <cfRule type="expression" dxfId="362" priority="291">
      <formula>ISNUMBER(N22)=FALSE</formula>
    </cfRule>
  </conditionalFormatting>
  <conditionalFormatting sqref="D23:E23">
    <cfRule type="containsBlanks" dxfId="361" priority="290">
      <formula>LEN(TRIM(D23))=0</formula>
    </cfRule>
  </conditionalFormatting>
  <conditionalFormatting sqref="H23 K23">
    <cfRule type="expression" dxfId="360" priority="288">
      <formula>ISNUMBER(H23)=FALSE</formula>
    </cfRule>
  </conditionalFormatting>
  <conditionalFormatting sqref="F23:K23">
    <cfRule type="containsBlanks" dxfId="359" priority="285">
      <formula>LEN(TRIM(F23))=0</formula>
    </cfRule>
  </conditionalFormatting>
  <conditionalFormatting sqref="B23:C23">
    <cfRule type="containsBlanks" dxfId="358" priority="286">
      <formula>LEN(TRIM(B23))=0</formula>
    </cfRule>
  </conditionalFormatting>
  <conditionalFormatting sqref="K23">
    <cfRule type="cellIs" dxfId="357" priority="284" operator="lessThan">
      <formula>0</formula>
    </cfRule>
    <cfRule type="cellIs" dxfId="356" priority="289" operator="equal">
      <formula>0</formula>
    </cfRule>
  </conditionalFormatting>
  <conditionalFormatting sqref="H23">
    <cfRule type="cellIs" dxfId="355" priority="287" operator="lessThanOrEqual">
      <formula>0</formula>
    </cfRule>
  </conditionalFormatting>
  <conditionalFormatting sqref="M23">
    <cfRule type="expression" dxfId="354" priority="281">
      <formula>AND(M23=0,L23&lt;&gt;"")</formula>
    </cfRule>
  </conditionalFormatting>
  <conditionalFormatting sqref="L23">
    <cfRule type="expression" dxfId="353" priority="282">
      <formula>AND(L23="",M23&gt;0)</formula>
    </cfRule>
  </conditionalFormatting>
  <conditionalFormatting sqref="L23:M23">
    <cfRule type="cellIs" dxfId="352" priority="283" operator="equal">
      <formula>0</formula>
    </cfRule>
  </conditionalFormatting>
  <conditionalFormatting sqref="R23">
    <cfRule type="containsText" dxfId="351" priority="280" operator="containsText" text="Error">
      <formula>NOT(ISERROR(SEARCH("Error",R23)))</formula>
    </cfRule>
  </conditionalFormatting>
  <conditionalFormatting sqref="N23">
    <cfRule type="expression" dxfId="350" priority="279">
      <formula>ISNUMBER(N23)=FALSE</formula>
    </cfRule>
  </conditionalFormatting>
  <conditionalFormatting sqref="D24:E24">
    <cfRule type="containsBlanks" dxfId="349" priority="278">
      <formula>LEN(TRIM(D24))=0</formula>
    </cfRule>
  </conditionalFormatting>
  <conditionalFormatting sqref="H24 K24">
    <cfRule type="expression" dxfId="348" priority="276">
      <formula>ISNUMBER(H24)=FALSE</formula>
    </cfRule>
  </conditionalFormatting>
  <conditionalFormatting sqref="F24:K24">
    <cfRule type="containsBlanks" dxfId="347" priority="273">
      <formula>LEN(TRIM(F24))=0</formula>
    </cfRule>
  </conditionalFormatting>
  <conditionalFormatting sqref="B24:C24">
    <cfRule type="containsBlanks" dxfId="346" priority="274">
      <formula>LEN(TRIM(B24))=0</formula>
    </cfRule>
  </conditionalFormatting>
  <conditionalFormatting sqref="K24">
    <cfRule type="cellIs" dxfId="345" priority="272" operator="lessThan">
      <formula>0</formula>
    </cfRule>
    <cfRule type="cellIs" dxfId="344" priority="277" operator="equal">
      <formula>0</formula>
    </cfRule>
  </conditionalFormatting>
  <conditionalFormatting sqref="H24">
    <cfRule type="cellIs" dxfId="343" priority="275" operator="lessThanOrEqual">
      <formula>0</formula>
    </cfRule>
  </conditionalFormatting>
  <conditionalFormatting sqref="M24">
    <cfRule type="expression" dxfId="342" priority="269">
      <formula>AND(M24=0,L24&lt;&gt;"")</formula>
    </cfRule>
  </conditionalFormatting>
  <conditionalFormatting sqref="L24">
    <cfRule type="expression" dxfId="341" priority="270">
      <formula>AND(L24="",M24&gt;0)</formula>
    </cfRule>
  </conditionalFormatting>
  <conditionalFormatting sqref="L24:M24">
    <cfRule type="cellIs" dxfId="340" priority="271" operator="equal">
      <formula>0</formula>
    </cfRule>
  </conditionalFormatting>
  <conditionalFormatting sqref="R24">
    <cfRule type="containsText" dxfId="339" priority="268" operator="containsText" text="Error">
      <formula>NOT(ISERROR(SEARCH("Error",R24)))</formula>
    </cfRule>
  </conditionalFormatting>
  <conditionalFormatting sqref="N24">
    <cfRule type="expression" dxfId="338" priority="267">
      <formula>ISNUMBER(N24)=FALSE</formula>
    </cfRule>
  </conditionalFormatting>
  <conditionalFormatting sqref="D25:E25">
    <cfRule type="containsBlanks" dxfId="337" priority="266">
      <formula>LEN(TRIM(D25))=0</formula>
    </cfRule>
  </conditionalFormatting>
  <conditionalFormatting sqref="H25 K25">
    <cfRule type="expression" dxfId="336" priority="264">
      <formula>ISNUMBER(H25)=FALSE</formula>
    </cfRule>
  </conditionalFormatting>
  <conditionalFormatting sqref="F25:K25">
    <cfRule type="containsBlanks" dxfId="335" priority="261">
      <formula>LEN(TRIM(F25))=0</formula>
    </cfRule>
  </conditionalFormatting>
  <conditionalFormatting sqref="B25:C25">
    <cfRule type="containsBlanks" dxfId="334" priority="262">
      <formula>LEN(TRIM(B25))=0</formula>
    </cfRule>
  </conditionalFormatting>
  <conditionalFormatting sqref="K25">
    <cfRule type="cellIs" dxfId="333" priority="260" operator="lessThan">
      <formula>0</formula>
    </cfRule>
    <cfRule type="cellIs" dxfId="332" priority="265" operator="equal">
      <formula>0</formula>
    </cfRule>
  </conditionalFormatting>
  <conditionalFormatting sqref="H25">
    <cfRule type="cellIs" dxfId="331" priority="263" operator="lessThanOrEqual">
      <formula>0</formula>
    </cfRule>
  </conditionalFormatting>
  <conditionalFormatting sqref="M25">
    <cfRule type="expression" dxfId="330" priority="257">
      <formula>AND(M25=0,L25&lt;&gt;"")</formula>
    </cfRule>
  </conditionalFormatting>
  <conditionalFormatting sqref="L25">
    <cfRule type="expression" dxfId="329" priority="258">
      <formula>AND(L25="",M25&gt;0)</formula>
    </cfRule>
  </conditionalFormatting>
  <conditionalFormatting sqref="L25:M25">
    <cfRule type="cellIs" dxfId="328" priority="259" operator="equal">
      <formula>0</formula>
    </cfRule>
  </conditionalFormatting>
  <conditionalFormatting sqref="R25">
    <cfRule type="containsText" dxfId="327" priority="256" operator="containsText" text="Error">
      <formula>NOT(ISERROR(SEARCH("Error",R25)))</formula>
    </cfRule>
  </conditionalFormatting>
  <conditionalFormatting sqref="N25">
    <cfRule type="expression" dxfId="326" priority="255">
      <formula>ISNUMBER(N25)=FALSE</formula>
    </cfRule>
  </conditionalFormatting>
  <conditionalFormatting sqref="D26:E26">
    <cfRule type="containsBlanks" dxfId="325" priority="254">
      <formula>LEN(TRIM(D26))=0</formula>
    </cfRule>
  </conditionalFormatting>
  <conditionalFormatting sqref="H26 K26">
    <cfRule type="expression" dxfId="324" priority="252">
      <formula>ISNUMBER(H26)=FALSE</formula>
    </cfRule>
  </conditionalFormatting>
  <conditionalFormatting sqref="F26:K26">
    <cfRule type="containsBlanks" dxfId="323" priority="249">
      <formula>LEN(TRIM(F26))=0</formula>
    </cfRule>
  </conditionalFormatting>
  <conditionalFormatting sqref="B26:C26">
    <cfRule type="containsBlanks" dxfId="322" priority="250">
      <formula>LEN(TRIM(B26))=0</formula>
    </cfRule>
  </conditionalFormatting>
  <conditionalFormatting sqref="K26">
    <cfRule type="cellIs" dxfId="321" priority="248" operator="lessThan">
      <formula>0</formula>
    </cfRule>
    <cfRule type="cellIs" dxfId="320" priority="253" operator="equal">
      <formula>0</formula>
    </cfRule>
  </conditionalFormatting>
  <conditionalFormatting sqref="H26">
    <cfRule type="cellIs" dxfId="319" priority="251" operator="lessThanOrEqual">
      <formula>0</formula>
    </cfRule>
  </conditionalFormatting>
  <conditionalFormatting sqref="M26">
    <cfRule type="expression" dxfId="318" priority="245">
      <formula>AND(M26=0,L26&lt;&gt;"")</formula>
    </cfRule>
  </conditionalFormatting>
  <conditionalFormatting sqref="L26">
    <cfRule type="expression" dxfId="317" priority="246">
      <formula>AND(L26="",M26&gt;0)</formula>
    </cfRule>
  </conditionalFormatting>
  <conditionalFormatting sqref="L26:M26">
    <cfRule type="cellIs" dxfId="316" priority="247" operator="equal">
      <formula>0</formula>
    </cfRule>
  </conditionalFormatting>
  <conditionalFormatting sqref="R26">
    <cfRule type="containsText" dxfId="315" priority="244" operator="containsText" text="Error">
      <formula>NOT(ISERROR(SEARCH("Error",R26)))</formula>
    </cfRule>
  </conditionalFormatting>
  <conditionalFormatting sqref="N26">
    <cfRule type="expression" dxfId="314" priority="243">
      <formula>ISNUMBER(N26)=FALSE</formula>
    </cfRule>
  </conditionalFormatting>
  <conditionalFormatting sqref="D27:E27">
    <cfRule type="containsBlanks" dxfId="313" priority="242">
      <formula>LEN(TRIM(D27))=0</formula>
    </cfRule>
  </conditionalFormatting>
  <conditionalFormatting sqref="H27 K27">
    <cfRule type="expression" dxfId="312" priority="240">
      <formula>ISNUMBER(H27)=FALSE</formula>
    </cfRule>
  </conditionalFormatting>
  <conditionalFormatting sqref="F27:K27">
    <cfRule type="containsBlanks" dxfId="311" priority="237">
      <formula>LEN(TRIM(F27))=0</formula>
    </cfRule>
  </conditionalFormatting>
  <conditionalFormatting sqref="B27:C27">
    <cfRule type="containsBlanks" dxfId="310" priority="238">
      <formula>LEN(TRIM(B27))=0</formula>
    </cfRule>
  </conditionalFormatting>
  <conditionalFormatting sqref="K27">
    <cfRule type="cellIs" dxfId="309" priority="236" operator="lessThan">
      <formula>0</formula>
    </cfRule>
    <cfRule type="cellIs" dxfId="308" priority="241" operator="equal">
      <formula>0</formula>
    </cfRule>
  </conditionalFormatting>
  <conditionalFormatting sqref="H27">
    <cfRule type="cellIs" dxfId="307" priority="239" operator="lessThanOrEqual">
      <formula>0</formula>
    </cfRule>
  </conditionalFormatting>
  <conditionalFormatting sqref="M27">
    <cfRule type="expression" dxfId="306" priority="233">
      <formula>AND(M27=0,L27&lt;&gt;"")</formula>
    </cfRule>
  </conditionalFormatting>
  <conditionalFormatting sqref="L27">
    <cfRule type="expression" dxfId="305" priority="234">
      <formula>AND(L27="",M27&gt;0)</formula>
    </cfRule>
  </conditionalFormatting>
  <conditionalFormatting sqref="L27:M27">
    <cfRule type="cellIs" dxfId="304" priority="235" operator="equal">
      <formula>0</formula>
    </cfRule>
  </conditionalFormatting>
  <conditionalFormatting sqref="R27">
    <cfRule type="containsText" dxfId="303" priority="232" operator="containsText" text="Error">
      <formula>NOT(ISERROR(SEARCH("Error",R27)))</formula>
    </cfRule>
  </conditionalFormatting>
  <conditionalFormatting sqref="N27">
    <cfRule type="expression" dxfId="302" priority="231">
      <formula>ISNUMBER(N27)=FALSE</formula>
    </cfRule>
  </conditionalFormatting>
  <conditionalFormatting sqref="D28:E28">
    <cfRule type="containsBlanks" dxfId="301" priority="230">
      <formula>LEN(TRIM(D28))=0</formula>
    </cfRule>
  </conditionalFormatting>
  <conditionalFormatting sqref="H28 K28">
    <cfRule type="expression" dxfId="300" priority="228">
      <formula>ISNUMBER(H28)=FALSE</formula>
    </cfRule>
  </conditionalFormatting>
  <conditionalFormatting sqref="F28:K28">
    <cfRule type="containsBlanks" dxfId="299" priority="225">
      <formula>LEN(TRIM(F28))=0</formula>
    </cfRule>
  </conditionalFormatting>
  <conditionalFormatting sqref="B28:C28">
    <cfRule type="containsBlanks" dxfId="298" priority="226">
      <formula>LEN(TRIM(B28))=0</formula>
    </cfRule>
  </conditionalFormatting>
  <conditionalFormatting sqref="K28">
    <cfRule type="cellIs" dxfId="297" priority="224" operator="lessThan">
      <formula>0</formula>
    </cfRule>
    <cfRule type="cellIs" dxfId="296" priority="229" operator="equal">
      <formula>0</formula>
    </cfRule>
  </conditionalFormatting>
  <conditionalFormatting sqref="H28">
    <cfRule type="cellIs" dxfId="295" priority="227" operator="lessThanOrEqual">
      <formula>0</formula>
    </cfRule>
  </conditionalFormatting>
  <conditionalFormatting sqref="M28">
    <cfRule type="expression" dxfId="294" priority="221">
      <formula>AND(M28=0,L28&lt;&gt;"")</formula>
    </cfRule>
  </conditionalFormatting>
  <conditionalFormatting sqref="L28">
    <cfRule type="expression" dxfId="293" priority="222">
      <formula>AND(L28="",M28&gt;0)</formula>
    </cfRule>
  </conditionalFormatting>
  <conditionalFormatting sqref="L28:M28">
    <cfRule type="cellIs" dxfId="292" priority="223" operator="equal">
      <formula>0</formula>
    </cfRule>
  </conditionalFormatting>
  <conditionalFormatting sqref="R28">
    <cfRule type="containsText" dxfId="291" priority="220" operator="containsText" text="Error">
      <formula>NOT(ISERROR(SEARCH("Error",R28)))</formula>
    </cfRule>
  </conditionalFormatting>
  <conditionalFormatting sqref="N28">
    <cfRule type="expression" dxfId="290" priority="219">
      <formula>ISNUMBER(N28)=FALSE</formula>
    </cfRule>
  </conditionalFormatting>
  <conditionalFormatting sqref="D29:E29">
    <cfRule type="containsBlanks" dxfId="289" priority="218">
      <formula>LEN(TRIM(D29))=0</formula>
    </cfRule>
  </conditionalFormatting>
  <conditionalFormatting sqref="H29 K29">
    <cfRule type="expression" dxfId="288" priority="216">
      <formula>ISNUMBER(H29)=FALSE</formula>
    </cfRule>
  </conditionalFormatting>
  <conditionalFormatting sqref="F29:K29">
    <cfRule type="containsBlanks" dxfId="287" priority="213">
      <formula>LEN(TRIM(F29))=0</formula>
    </cfRule>
  </conditionalFormatting>
  <conditionalFormatting sqref="B29:C29">
    <cfRule type="containsBlanks" dxfId="286" priority="214">
      <formula>LEN(TRIM(B29))=0</formula>
    </cfRule>
  </conditionalFormatting>
  <conditionalFormatting sqref="K29">
    <cfRule type="cellIs" dxfId="285" priority="212" operator="lessThan">
      <formula>0</formula>
    </cfRule>
    <cfRule type="cellIs" dxfId="284" priority="217" operator="equal">
      <formula>0</formula>
    </cfRule>
  </conditionalFormatting>
  <conditionalFormatting sqref="H29">
    <cfRule type="cellIs" dxfId="283" priority="215" operator="lessThanOrEqual">
      <formula>0</formula>
    </cfRule>
  </conditionalFormatting>
  <conditionalFormatting sqref="M29">
    <cfRule type="expression" dxfId="282" priority="209">
      <formula>AND(M29=0,L29&lt;&gt;"")</formula>
    </cfRule>
  </conditionalFormatting>
  <conditionalFormatting sqref="L29">
    <cfRule type="expression" dxfId="281" priority="210">
      <formula>AND(L29="",M29&gt;0)</formula>
    </cfRule>
  </conditionalFormatting>
  <conditionalFormatting sqref="L29:M29">
    <cfRule type="cellIs" dxfId="280" priority="211" operator="equal">
      <formula>0</formula>
    </cfRule>
  </conditionalFormatting>
  <conditionalFormatting sqref="R29">
    <cfRule type="containsText" dxfId="279" priority="208" operator="containsText" text="Error">
      <formula>NOT(ISERROR(SEARCH("Error",R29)))</formula>
    </cfRule>
  </conditionalFormatting>
  <conditionalFormatting sqref="N29">
    <cfRule type="expression" dxfId="278" priority="207">
      <formula>ISNUMBER(N29)=FALSE</formula>
    </cfRule>
  </conditionalFormatting>
  <conditionalFormatting sqref="D30:E30">
    <cfRule type="containsBlanks" dxfId="277" priority="206">
      <formula>LEN(TRIM(D30))=0</formula>
    </cfRule>
  </conditionalFormatting>
  <conditionalFormatting sqref="H30 K30">
    <cfRule type="expression" dxfId="276" priority="204">
      <formula>ISNUMBER(H30)=FALSE</formula>
    </cfRule>
  </conditionalFormatting>
  <conditionalFormatting sqref="F30:K30">
    <cfRule type="containsBlanks" dxfId="275" priority="201">
      <formula>LEN(TRIM(F30))=0</formula>
    </cfRule>
  </conditionalFormatting>
  <conditionalFormatting sqref="B30:C30">
    <cfRule type="containsBlanks" dxfId="274" priority="202">
      <formula>LEN(TRIM(B30))=0</formula>
    </cfRule>
  </conditionalFormatting>
  <conditionalFormatting sqref="K30">
    <cfRule type="cellIs" dxfId="273" priority="200" operator="lessThan">
      <formula>0</formula>
    </cfRule>
    <cfRule type="cellIs" dxfId="272" priority="205" operator="equal">
      <formula>0</formula>
    </cfRule>
  </conditionalFormatting>
  <conditionalFormatting sqref="H30">
    <cfRule type="cellIs" dxfId="271" priority="203" operator="lessThanOrEqual">
      <formula>0</formula>
    </cfRule>
  </conditionalFormatting>
  <conditionalFormatting sqref="M30">
    <cfRule type="expression" dxfId="270" priority="197">
      <formula>AND(M30=0,L30&lt;&gt;"")</formula>
    </cfRule>
  </conditionalFormatting>
  <conditionalFormatting sqref="L30">
    <cfRule type="expression" dxfId="269" priority="198">
      <formula>AND(L30="",M30&gt;0)</formula>
    </cfRule>
  </conditionalFormatting>
  <conditionalFormatting sqref="L30:M30">
    <cfRule type="cellIs" dxfId="268" priority="199" operator="equal">
      <formula>0</formula>
    </cfRule>
  </conditionalFormatting>
  <conditionalFormatting sqref="R30">
    <cfRule type="containsText" dxfId="267" priority="196" operator="containsText" text="Error">
      <formula>NOT(ISERROR(SEARCH("Error",R30)))</formula>
    </cfRule>
  </conditionalFormatting>
  <conditionalFormatting sqref="N30">
    <cfRule type="expression" dxfId="266" priority="195">
      <formula>ISNUMBER(N30)=FALSE</formula>
    </cfRule>
  </conditionalFormatting>
  <conditionalFormatting sqref="D31:E31">
    <cfRule type="containsBlanks" dxfId="265" priority="194">
      <formula>LEN(TRIM(D31))=0</formula>
    </cfRule>
  </conditionalFormatting>
  <conditionalFormatting sqref="H31 K31">
    <cfRule type="expression" dxfId="264" priority="192">
      <formula>ISNUMBER(H31)=FALSE</formula>
    </cfRule>
  </conditionalFormatting>
  <conditionalFormatting sqref="F31:K31">
    <cfRule type="containsBlanks" dxfId="263" priority="189">
      <formula>LEN(TRIM(F31))=0</formula>
    </cfRule>
  </conditionalFormatting>
  <conditionalFormatting sqref="B31:C31">
    <cfRule type="containsBlanks" dxfId="262" priority="190">
      <formula>LEN(TRIM(B31))=0</formula>
    </cfRule>
  </conditionalFormatting>
  <conditionalFormatting sqref="K31">
    <cfRule type="cellIs" dxfId="261" priority="188" operator="lessThan">
      <formula>0</formula>
    </cfRule>
    <cfRule type="cellIs" dxfId="260" priority="193" operator="equal">
      <formula>0</formula>
    </cfRule>
  </conditionalFormatting>
  <conditionalFormatting sqref="H31">
    <cfRule type="cellIs" dxfId="259" priority="191" operator="lessThanOrEqual">
      <formula>0</formula>
    </cfRule>
  </conditionalFormatting>
  <conditionalFormatting sqref="M31">
    <cfRule type="expression" dxfId="258" priority="185">
      <formula>AND(M31=0,L31&lt;&gt;"")</formula>
    </cfRule>
  </conditionalFormatting>
  <conditionalFormatting sqref="L31">
    <cfRule type="expression" dxfId="257" priority="186">
      <formula>AND(L31="",M31&gt;0)</formula>
    </cfRule>
  </conditionalFormatting>
  <conditionalFormatting sqref="L31:M31">
    <cfRule type="cellIs" dxfId="256" priority="187" operator="equal">
      <formula>0</formula>
    </cfRule>
  </conditionalFormatting>
  <conditionalFormatting sqref="R31">
    <cfRule type="containsText" dxfId="255" priority="184" operator="containsText" text="Error">
      <formula>NOT(ISERROR(SEARCH("Error",R31)))</formula>
    </cfRule>
  </conditionalFormatting>
  <conditionalFormatting sqref="N31">
    <cfRule type="expression" dxfId="254" priority="183">
      <formula>ISNUMBER(N31)=FALSE</formula>
    </cfRule>
  </conditionalFormatting>
  <conditionalFormatting sqref="D32:E32">
    <cfRule type="containsBlanks" dxfId="253" priority="182">
      <formula>LEN(TRIM(D32))=0</formula>
    </cfRule>
  </conditionalFormatting>
  <conditionalFormatting sqref="H32 K32">
    <cfRule type="expression" dxfId="252" priority="180">
      <formula>ISNUMBER(H32)=FALSE</formula>
    </cfRule>
  </conditionalFormatting>
  <conditionalFormatting sqref="F32:K32">
    <cfRule type="containsBlanks" dxfId="251" priority="177">
      <formula>LEN(TRIM(F32))=0</formula>
    </cfRule>
  </conditionalFormatting>
  <conditionalFormatting sqref="B32:C32">
    <cfRule type="containsBlanks" dxfId="250" priority="178">
      <formula>LEN(TRIM(B32))=0</formula>
    </cfRule>
  </conditionalFormatting>
  <conditionalFormatting sqref="K32">
    <cfRule type="cellIs" dxfId="249" priority="176" operator="lessThan">
      <formula>0</formula>
    </cfRule>
    <cfRule type="cellIs" dxfId="248" priority="181" operator="equal">
      <formula>0</formula>
    </cfRule>
  </conditionalFormatting>
  <conditionalFormatting sqref="H32">
    <cfRule type="cellIs" dxfId="247" priority="179" operator="lessThanOrEqual">
      <formula>0</formula>
    </cfRule>
  </conditionalFormatting>
  <conditionalFormatting sqref="M32">
    <cfRule type="expression" dxfId="246" priority="173">
      <formula>AND(M32=0,L32&lt;&gt;"")</formula>
    </cfRule>
  </conditionalFormatting>
  <conditionalFormatting sqref="L32">
    <cfRule type="expression" dxfId="245" priority="174">
      <formula>AND(L32="",M32&gt;0)</formula>
    </cfRule>
  </conditionalFormatting>
  <conditionalFormatting sqref="L32:M32">
    <cfRule type="cellIs" dxfId="244" priority="175" operator="equal">
      <formula>0</formula>
    </cfRule>
  </conditionalFormatting>
  <conditionalFormatting sqref="R32">
    <cfRule type="containsText" dxfId="243" priority="172" operator="containsText" text="Error">
      <formula>NOT(ISERROR(SEARCH("Error",R32)))</formula>
    </cfRule>
  </conditionalFormatting>
  <conditionalFormatting sqref="N32">
    <cfRule type="expression" dxfId="242" priority="171">
      <formula>ISNUMBER(N32)=FALSE</formula>
    </cfRule>
  </conditionalFormatting>
  <conditionalFormatting sqref="D33:E33">
    <cfRule type="containsBlanks" dxfId="241" priority="170">
      <formula>LEN(TRIM(D33))=0</formula>
    </cfRule>
  </conditionalFormatting>
  <conditionalFormatting sqref="H33 K33">
    <cfRule type="expression" dxfId="240" priority="168">
      <formula>ISNUMBER(H33)=FALSE</formula>
    </cfRule>
  </conditionalFormatting>
  <conditionalFormatting sqref="F33:K33">
    <cfRule type="containsBlanks" dxfId="239" priority="165">
      <formula>LEN(TRIM(F33))=0</formula>
    </cfRule>
  </conditionalFormatting>
  <conditionalFormatting sqref="B33:C33">
    <cfRule type="containsBlanks" dxfId="238" priority="166">
      <formula>LEN(TRIM(B33))=0</formula>
    </cfRule>
  </conditionalFormatting>
  <conditionalFormatting sqref="K33">
    <cfRule type="cellIs" dxfId="237" priority="164" operator="lessThan">
      <formula>0</formula>
    </cfRule>
    <cfRule type="cellIs" dxfId="236" priority="169" operator="equal">
      <formula>0</formula>
    </cfRule>
  </conditionalFormatting>
  <conditionalFormatting sqref="H33">
    <cfRule type="cellIs" dxfId="235" priority="167" operator="lessThanOrEqual">
      <formula>0</formula>
    </cfRule>
  </conditionalFormatting>
  <conditionalFormatting sqref="M33">
    <cfRule type="expression" dxfId="234" priority="161">
      <formula>AND(M33=0,L33&lt;&gt;"")</formula>
    </cfRule>
  </conditionalFormatting>
  <conditionalFormatting sqref="L33">
    <cfRule type="expression" dxfId="233" priority="162">
      <formula>AND(L33="",M33&gt;0)</formula>
    </cfRule>
  </conditionalFormatting>
  <conditionalFormatting sqref="L33:M33">
    <cfRule type="cellIs" dxfId="232" priority="163" operator="equal">
      <formula>0</formula>
    </cfRule>
  </conditionalFormatting>
  <conditionalFormatting sqref="R33">
    <cfRule type="containsText" dxfId="231" priority="160" operator="containsText" text="Error">
      <formula>NOT(ISERROR(SEARCH("Error",R33)))</formula>
    </cfRule>
  </conditionalFormatting>
  <conditionalFormatting sqref="N33">
    <cfRule type="expression" dxfId="230" priority="159">
      <formula>ISNUMBER(N33)=FALSE</formula>
    </cfRule>
  </conditionalFormatting>
  <conditionalFormatting sqref="D34:E34">
    <cfRule type="containsBlanks" dxfId="229" priority="158">
      <formula>LEN(TRIM(D34))=0</formula>
    </cfRule>
  </conditionalFormatting>
  <conditionalFormatting sqref="H34 K34">
    <cfRule type="expression" dxfId="228" priority="156">
      <formula>ISNUMBER(H34)=FALSE</formula>
    </cfRule>
  </conditionalFormatting>
  <conditionalFormatting sqref="F34:K34">
    <cfRule type="containsBlanks" dxfId="227" priority="153">
      <formula>LEN(TRIM(F34))=0</formula>
    </cfRule>
  </conditionalFormatting>
  <conditionalFormatting sqref="B34:C34">
    <cfRule type="containsBlanks" dxfId="226" priority="154">
      <formula>LEN(TRIM(B34))=0</formula>
    </cfRule>
  </conditionalFormatting>
  <conditionalFormatting sqref="K34">
    <cfRule type="cellIs" dxfId="225" priority="152" operator="lessThan">
      <formula>0</formula>
    </cfRule>
    <cfRule type="cellIs" dxfId="224" priority="157" operator="equal">
      <formula>0</formula>
    </cfRule>
  </conditionalFormatting>
  <conditionalFormatting sqref="H34">
    <cfRule type="cellIs" dxfId="223" priority="155" operator="lessThanOrEqual">
      <formula>0</formula>
    </cfRule>
  </conditionalFormatting>
  <conditionalFormatting sqref="M34">
    <cfRule type="expression" dxfId="222" priority="149">
      <formula>AND(M34=0,L34&lt;&gt;"")</formula>
    </cfRule>
  </conditionalFormatting>
  <conditionalFormatting sqref="L34">
    <cfRule type="expression" dxfId="221" priority="150">
      <formula>AND(L34="",M34&gt;0)</formula>
    </cfRule>
  </conditionalFormatting>
  <conditionalFormatting sqref="L34:M34">
    <cfRule type="cellIs" dxfId="220" priority="151" operator="equal">
      <formula>0</formula>
    </cfRule>
  </conditionalFormatting>
  <conditionalFormatting sqref="R34">
    <cfRule type="containsText" dxfId="219" priority="148" operator="containsText" text="Error">
      <formula>NOT(ISERROR(SEARCH("Error",R34)))</formula>
    </cfRule>
  </conditionalFormatting>
  <conditionalFormatting sqref="N34">
    <cfRule type="expression" dxfId="218" priority="147">
      <formula>ISNUMBER(N34)=FALSE</formula>
    </cfRule>
  </conditionalFormatting>
  <conditionalFormatting sqref="D35:E35">
    <cfRule type="containsBlanks" dxfId="217" priority="146">
      <formula>LEN(TRIM(D35))=0</formula>
    </cfRule>
  </conditionalFormatting>
  <conditionalFormatting sqref="H35 K35">
    <cfRule type="expression" dxfId="216" priority="144">
      <formula>ISNUMBER(H35)=FALSE</formula>
    </cfRule>
  </conditionalFormatting>
  <conditionalFormatting sqref="F35:K35">
    <cfRule type="containsBlanks" dxfId="215" priority="141">
      <formula>LEN(TRIM(F35))=0</formula>
    </cfRule>
  </conditionalFormatting>
  <conditionalFormatting sqref="B35:C35">
    <cfRule type="containsBlanks" dxfId="214" priority="142">
      <formula>LEN(TRIM(B35))=0</formula>
    </cfRule>
  </conditionalFormatting>
  <conditionalFormatting sqref="K35">
    <cfRule type="cellIs" dxfId="213" priority="140" operator="lessThan">
      <formula>0</formula>
    </cfRule>
    <cfRule type="cellIs" dxfId="212" priority="145" operator="equal">
      <formula>0</formula>
    </cfRule>
  </conditionalFormatting>
  <conditionalFormatting sqref="H35">
    <cfRule type="cellIs" dxfId="211" priority="143" operator="lessThanOrEqual">
      <formula>0</formula>
    </cfRule>
  </conditionalFormatting>
  <conditionalFormatting sqref="M35">
    <cfRule type="expression" dxfId="210" priority="137">
      <formula>AND(M35=0,L35&lt;&gt;"")</formula>
    </cfRule>
  </conditionalFormatting>
  <conditionalFormatting sqref="L35">
    <cfRule type="expression" dxfId="209" priority="138">
      <formula>AND(L35="",M35&gt;0)</formula>
    </cfRule>
  </conditionalFormatting>
  <conditionalFormatting sqref="L35:M35">
    <cfRule type="cellIs" dxfId="208" priority="139" operator="equal">
      <formula>0</formula>
    </cfRule>
  </conditionalFormatting>
  <conditionalFormatting sqref="R35">
    <cfRule type="containsText" dxfId="207" priority="136" operator="containsText" text="Error">
      <formula>NOT(ISERROR(SEARCH("Error",R35)))</formula>
    </cfRule>
  </conditionalFormatting>
  <conditionalFormatting sqref="N35">
    <cfRule type="expression" dxfId="206" priority="135">
      <formula>ISNUMBER(N35)=FALSE</formula>
    </cfRule>
  </conditionalFormatting>
  <conditionalFormatting sqref="D36:E46">
    <cfRule type="containsBlanks" dxfId="205" priority="134">
      <formula>LEN(TRIM(D36))=0</formula>
    </cfRule>
  </conditionalFormatting>
  <conditionalFormatting sqref="H36:H46 K36:K46">
    <cfRule type="expression" dxfId="204" priority="132">
      <formula>ISNUMBER(H36)=FALSE</formula>
    </cfRule>
  </conditionalFormatting>
  <conditionalFormatting sqref="F36:K46">
    <cfRule type="containsBlanks" dxfId="203" priority="129">
      <formula>LEN(TRIM(F36))=0</formula>
    </cfRule>
  </conditionalFormatting>
  <conditionalFormatting sqref="B36:C46">
    <cfRule type="containsBlanks" dxfId="202" priority="130">
      <formula>LEN(TRIM(B36))=0</formula>
    </cfRule>
  </conditionalFormatting>
  <conditionalFormatting sqref="K36:K46">
    <cfRule type="cellIs" dxfId="201" priority="128" operator="lessThan">
      <formula>0</formula>
    </cfRule>
    <cfRule type="cellIs" dxfId="200" priority="133" operator="equal">
      <formula>0</formula>
    </cfRule>
  </conditionalFormatting>
  <conditionalFormatting sqref="H36:H46">
    <cfRule type="cellIs" dxfId="199" priority="131" operator="lessThanOrEqual">
      <formula>0</formula>
    </cfRule>
  </conditionalFormatting>
  <conditionalFormatting sqref="M36:M46">
    <cfRule type="expression" dxfId="198" priority="125">
      <formula>AND(M36=0,L36&lt;&gt;"")</formula>
    </cfRule>
  </conditionalFormatting>
  <conditionalFormatting sqref="L36:L46">
    <cfRule type="expression" dxfId="197" priority="126">
      <formula>AND(L36="",M36&gt;0)</formula>
    </cfRule>
  </conditionalFormatting>
  <conditionalFormatting sqref="L36:M46">
    <cfRule type="cellIs" dxfId="196" priority="127" operator="equal">
      <formula>0</formula>
    </cfRule>
  </conditionalFormatting>
  <conditionalFormatting sqref="R36:R46">
    <cfRule type="containsText" dxfId="195" priority="124" operator="containsText" text="Error">
      <formula>NOT(ISERROR(SEARCH("Error",R36)))</formula>
    </cfRule>
  </conditionalFormatting>
  <conditionalFormatting sqref="N36:N46">
    <cfRule type="expression" dxfId="194" priority="123">
      <formula>ISNUMBER(N36)=FALSE</formula>
    </cfRule>
  </conditionalFormatting>
  <conditionalFormatting sqref="R37:R46">
    <cfRule type="containsText" dxfId="193" priority="110" operator="containsText" text="Error">
      <formula>NOT(ISERROR(SEARCH("Error",R37)))</formula>
    </cfRule>
  </conditionalFormatting>
  <conditionalFormatting sqref="D37:E46">
    <cfRule type="containsBlanks" dxfId="192" priority="109">
      <formula>LEN(TRIM(D37))=0</formula>
    </cfRule>
  </conditionalFormatting>
  <conditionalFormatting sqref="H37:H46 K37:K46">
    <cfRule type="expression" dxfId="191" priority="108">
      <formula>ISNUMBER(H37)=FALSE</formula>
    </cfRule>
  </conditionalFormatting>
  <conditionalFormatting sqref="F37:K46 B37:C46">
    <cfRule type="containsBlanks" dxfId="190" priority="107">
      <formula>LEN(TRIM(B37))=0</formula>
    </cfRule>
  </conditionalFormatting>
  <conditionalFormatting sqref="K37:K46">
    <cfRule type="cellIs" dxfId="189" priority="105" operator="lessThan">
      <formula>0</formula>
    </cfRule>
    <cfRule type="cellIs" dxfId="188" priority="106" operator="equal">
      <formula>0</formula>
    </cfRule>
  </conditionalFormatting>
  <conditionalFormatting sqref="H37:H46">
    <cfRule type="cellIs" dxfId="187" priority="104" operator="lessThanOrEqual">
      <formula>0</formula>
    </cfRule>
  </conditionalFormatting>
  <conditionalFormatting sqref="L37:M46">
    <cfRule type="cellIs" dxfId="186" priority="103" operator="equal">
      <formula>0</formula>
    </cfRule>
  </conditionalFormatting>
  <conditionalFormatting sqref="M37:M46">
    <cfRule type="expression" dxfId="185" priority="102">
      <formula>AND(M37=0,L37&lt;&gt;"")</formula>
    </cfRule>
  </conditionalFormatting>
  <conditionalFormatting sqref="L37:L46">
    <cfRule type="expression" dxfId="184" priority="101">
      <formula>AND(L37="",M37&gt;0)</formula>
    </cfRule>
  </conditionalFormatting>
  <conditionalFormatting sqref="N37:N46">
    <cfRule type="expression" dxfId="183" priority="100">
      <formula>ISNUMBER(N37)=FALSE</formula>
    </cfRule>
  </conditionalFormatting>
  <conditionalFormatting sqref="R38:R46">
    <cfRule type="containsText" dxfId="182" priority="99" operator="containsText" text="Error">
      <formula>NOT(ISERROR(SEARCH("Error",R38)))</formula>
    </cfRule>
  </conditionalFormatting>
  <conditionalFormatting sqref="D38:E46">
    <cfRule type="containsBlanks" dxfId="181" priority="98">
      <formula>LEN(TRIM(D38))=0</formula>
    </cfRule>
  </conditionalFormatting>
  <conditionalFormatting sqref="H38:H46 K38:K46">
    <cfRule type="expression" dxfId="180" priority="97">
      <formula>ISNUMBER(H38)=FALSE</formula>
    </cfRule>
  </conditionalFormatting>
  <conditionalFormatting sqref="F38:K46 B38:C46">
    <cfRule type="containsBlanks" dxfId="179" priority="96">
      <formula>LEN(TRIM(B38))=0</formula>
    </cfRule>
  </conditionalFormatting>
  <conditionalFormatting sqref="K38:K46">
    <cfRule type="cellIs" dxfId="178" priority="94" operator="lessThan">
      <formula>0</formula>
    </cfRule>
    <cfRule type="cellIs" dxfId="177" priority="95" operator="equal">
      <formula>0</formula>
    </cfRule>
  </conditionalFormatting>
  <conditionalFormatting sqref="H38:H46">
    <cfRule type="cellIs" dxfId="176" priority="93" operator="lessThanOrEqual">
      <formula>0</formula>
    </cfRule>
  </conditionalFormatting>
  <conditionalFormatting sqref="L38:M46">
    <cfRule type="cellIs" dxfId="175" priority="92" operator="equal">
      <formula>0</formula>
    </cfRule>
  </conditionalFormatting>
  <conditionalFormatting sqref="M38:M46">
    <cfRule type="expression" dxfId="174" priority="91">
      <formula>AND(M38=0,L38&lt;&gt;"")</formula>
    </cfRule>
  </conditionalFormatting>
  <conditionalFormatting sqref="L38:L46">
    <cfRule type="expression" dxfId="173" priority="90">
      <formula>AND(L38="",M38&gt;0)</formula>
    </cfRule>
  </conditionalFormatting>
  <conditionalFormatting sqref="N38:N46">
    <cfRule type="expression" dxfId="172" priority="89">
      <formula>ISNUMBER(N38)=FALSE</formula>
    </cfRule>
  </conditionalFormatting>
  <conditionalFormatting sqref="R39:R46">
    <cfRule type="containsText" dxfId="171" priority="88" operator="containsText" text="Error">
      <formula>NOT(ISERROR(SEARCH("Error",R39)))</formula>
    </cfRule>
  </conditionalFormatting>
  <conditionalFormatting sqref="D39:E46">
    <cfRule type="containsBlanks" dxfId="170" priority="87">
      <formula>LEN(TRIM(D39))=0</formula>
    </cfRule>
  </conditionalFormatting>
  <conditionalFormatting sqref="H39:H46 K39:K46">
    <cfRule type="expression" dxfId="169" priority="86">
      <formula>ISNUMBER(H39)=FALSE</formula>
    </cfRule>
  </conditionalFormatting>
  <conditionalFormatting sqref="F39:K46 B39:C46">
    <cfRule type="containsBlanks" dxfId="168" priority="85">
      <formula>LEN(TRIM(B39))=0</formula>
    </cfRule>
  </conditionalFormatting>
  <conditionalFormatting sqref="K39:K46">
    <cfRule type="cellIs" dxfId="167" priority="83" operator="lessThan">
      <formula>0</formula>
    </cfRule>
    <cfRule type="cellIs" dxfId="166" priority="84" operator="equal">
      <formula>0</formula>
    </cfRule>
  </conditionalFormatting>
  <conditionalFormatting sqref="H39:H46">
    <cfRule type="cellIs" dxfId="165" priority="82" operator="lessThanOrEqual">
      <formula>0</formula>
    </cfRule>
  </conditionalFormatting>
  <conditionalFormatting sqref="L39:M46">
    <cfRule type="cellIs" dxfId="164" priority="81" operator="equal">
      <formula>0</formula>
    </cfRule>
  </conditionalFormatting>
  <conditionalFormatting sqref="M39:M46">
    <cfRule type="expression" dxfId="163" priority="80">
      <formula>AND(M39=0,L39&lt;&gt;"")</formula>
    </cfRule>
  </conditionalFormatting>
  <conditionalFormatting sqref="L39:L46">
    <cfRule type="expression" dxfId="162" priority="79">
      <formula>AND(L39="",M39&gt;0)</formula>
    </cfRule>
  </conditionalFormatting>
  <conditionalFormatting sqref="N39:N46">
    <cfRule type="expression" dxfId="161" priority="78">
      <formula>ISNUMBER(N39)=FALSE</formula>
    </cfRule>
  </conditionalFormatting>
  <conditionalFormatting sqref="R40:R46">
    <cfRule type="containsText" dxfId="160" priority="77" operator="containsText" text="Error">
      <formula>NOT(ISERROR(SEARCH("Error",R40)))</formula>
    </cfRule>
  </conditionalFormatting>
  <conditionalFormatting sqref="D40:E46">
    <cfRule type="containsBlanks" dxfId="159" priority="76">
      <formula>LEN(TRIM(D40))=0</formula>
    </cfRule>
  </conditionalFormatting>
  <conditionalFormatting sqref="H40:H46 K40:K46">
    <cfRule type="expression" dxfId="158" priority="75">
      <formula>ISNUMBER(H40)=FALSE</formula>
    </cfRule>
  </conditionalFormatting>
  <conditionalFormatting sqref="F40:K46 B40:C46">
    <cfRule type="containsBlanks" dxfId="157" priority="74">
      <formula>LEN(TRIM(B40))=0</formula>
    </cfRule>
  </conditionalFormatting>
  <conditionalFormatting sqref="K40:K46">
    <cfRule type="cellIs" dxfId="156" priority="72" operator="lessThan">
      <formula>0</formula>
    </cfRule>
    <cfRule type="cellIs" dxfId="155" priority="73" operator="equal">
      <formula>0</formula>
    </cfRule>
  </conditionalFormatting>
  <conditionalFormatting sqref="H40:H46">
    <cfRule type="cellIs" dxfId="154" priority="71" operator="lessThanOrEqual">
      <formula>0</formula>
    </cfRule>
  </conditionalFormatting>
  <conditionalFormatting sqref="L40:M46">
    <cfRule type="cellIs" dxfId="153" priority="70" operator="equal">
      <formula>0</formula>
    </cfRule>
  </conditionalFormatting>
  <conditionalFormatting sqref="M40:M46">
    <cfRule type="expression" dxfId="152" priority="69">
      <formula>AND(M40=0,L40&lt;&gt;"")</formula>
    </cfRule>
  </conditionalFormatting>
  <conditionalFormatting sqref="L40:L46">
    <cfRule type="expression" dxfId="151" priority="68">
      <formula>AND(L40="",M40&gt;0)</formula>
    </cfRule>
  </conditionalFormatting>
  <conditionalFormatting sqref="N40:N46">
    <cfRule type="expression" dxfId="150" priority="67">
      <formula>ISNUMBER(N40)=FALSE</formula>
    </cfRule>
  </conditionalFormatting>
  <conditionalFormatting sqref="R41:R46">
    <cfRule type="containsText" dxfId="149" priority="66" operator="containsText" text="Error">
      <formula>NOT(ISERROR(SEARCH("Error",R41)))</formula>
    </cfRule>
  </conditionalFormatting>
  <conditionalFormatting sqref="D41:E46">
    <cfRule type="containsBlanks" dxfId="148" priority="65">
      <formula>LEN(TRIM(D41))=0</formula>
    </cfRule>
  </conditionalFormatting>
  <conditionalFormatting sqref="H41:H46 K41:K46">
    <cfRule type="expression" dxfId="147" priority="64">
      <formula>ISNUMBER(H41)=FALSE</formula>
    </cfRule>
  </conditionalFormatting>
  <conditionalFormatting sqref="F41:K46 B41:C46">
    <cfRule type="containsBlanks" dxfId="146" priority="63">
      <formula>LEN(TRIM(B41))=0</formula>
    </cfRule>
  </conditionalFormatting>
  <conditionalFormatting sqref="K41:K46">
    <cfRule type="cellIs" dxfId="145" priority="61" operator="lessThan">
      <formula>0</formula>
    </cfRule>
    <cfRule type="cellIs" dxfId="144" priority="62" operator="equal">
      <formula>0</formula>
    </cfRule>
  </conditionalFormatting>
  <conditionalFormatting sqref="H41:H46">
    <cfRule type="cellIs" dxfId="143" priority="60" operator="lessThanOrEqual">
      <formula>0</formula>
    </cfRule>
  </conditionalFormatting>
  <conditionalFormatting sqref="L41:M46">
    <cfRule type="cellIs" dxfId="142" priority="59" operator="equal">
      <formula>0</formula>
    </cfRule>
  </conditionalFormatting>
  <conditionalFormatting sqref="M41:M46">
    <cfRule type="expression" dxfId="141" priority="58">
      <formula>AND(M41=0,L41&lt;&gt;"")</formula>
    </cfRule>
  </conditionalFormatting>
  <conditionalFormatting sqref="L41:L46">
    <cfRule type="expression" dxfId="140" priority="57">
      <formula>AND(L41="",M41&gt;0)</formula>
    </cfRule>
  </conditionalFormatting>
  <conditionalFormatting sqref="N41:N46">
    <cfRule type="expression" dxfId="139" priority="56">
      <formula>ISNUMBER(N41)=FALSE</formula>
    </cfRule>
  </conditionalFormatting>
  <conditionalFormatting sqref="R42:R46">
    <cfRule type="containsText" dxfId="138" priority="55" operator="containsText" text="Error">
      <formula>NOT(ISERROR(SEARCH("Error",R42)))</formula>
    </cfRule>
  </conditionalFormatting>
  <conditionalFormatting sqref="D42:E46">
    <cfRule type="containsBlanks" dxfId="137" priority="54">
      <formula>LEN(TRIM(D42))=0</formula>
    </cfRule>
  </conditionalFormatting>
  <conditionalFormatting sqref="H42:H46 K42:K46">
    <cfRule type="expression" dxfId="136" priority="53">
      <formula>ISNUMBER(H42)=FALSE</formula>
    </cfRule>
  </conditionalFormatting>
  <conditionalFormatting sqref="F42:K46 B42:C46">
    <cfRule type="containsBlanks" dxfId="135" priority="52">
      <formula>LEN(TRIM(B42))=0</formula>
    </cfRule>
  </conditionalFormatting>
  <conditionalFormatting sqref="K42:K46">
    <cfRule type="cellIs" dxfId="134" priority="50" operator="lessThan">
      <formula>0</formula>
    </cfRule>
    <cfRule type="cellIs" dxfId="133" priority="51" operator="equal">
      <formula>0</formula>
    </cfRule>
  </conditionalFormatting>
  <conditionalFormatting sqref="H42:H46">
    <cfRule type="cellIs" dxfId="132" priority="49" operator="lessThanOrEqual">
      <formula>0</formula>
    </cfRule>
  </conditionalFormatting>
  <conditionalFormatting sqref="L42:M46">
    <cfRule type="cellIs" dxfId="131" priority="48" operator="equal">
      <formula>0</formula>
    </cfRule>
  </conditionalFormatting>
  <conditionalFormatting sqref="M42:M46">
    <cfRule type="expression" dxfId="130" priority="47">
      <formula>AND(M42=0,L42&lt;&gt;"")</formula>
    </cfRule>
  </conditionalFormatting>
  <conditionalFormatting sqref="L42:L46">
    <cfRule type="expression" dxfId="129" priority="46">
      <formula>AND(L42="",M42&gt;0)</formula>
    </cfRule>
  </conditionalFormatting>
  <conditionalFormatting sqref="N42:N46">
    <cfRule type="expression" dxfId="128" priority="45">
      <formula>ISNUMBER(N42)=FALSE</formula>
    </cfRule>
  </conditionalFormatting>
  <conditionalFormatting sqref="R43:R46">
    <cfRule type="containsText" dxfId="127" priority="44" operator="containsText" text="Error">
      <formula>NOT(ISERROR(SEARCH("Error",R43)))</formula>
    </cfRule>
  </conditionalFormatting>
  <conditionalFormatting sqref="D43:E46">
    <cfRule type="containsBlanks" dxfId="126" priority="43">
      <formula>LEN(TRIM(D43))=0</formula>
    </cfRule>
  </conditionalFormatting>
  <conditionalFormatting sqref="H43:H46 K43:K46">
    <cfRule type="expression" dxfId="125" priority="42">
      <formula>ISNUMBER(H43)=FALSE</formula>
    </cfRule>
  </conditionalFormatting>
  <conditionalFormatting sqref="F43:K46 B43:C46">
    <cfRule type="containsBlanks" dxfId="124" priority="41">
      <formula>LEN(TRIM(B43))=0</formula>
    </cfRule>
  </conditionalFormatting>
  <conditionalFormatting sqref="K43:K46">
    <cfRule type="cellIs" dxfId="123" priority="39" operator="lessThan">
      <formula>0</formula>
    </cfRule>
    <cfRule type="cellIs" dxfId="122" priority="40" operator="equal">
      <formula>0</formula>
    </cfRule>
  </conditionalFormatting>
  <conditionalFormatting sqref="H43:H46">
    <cfRule type="cellIs" dxfId="121" priority="38" operator="lessThanOrEqual">
      <formula>0</formula>
    </cfRule>
  </conditionalFormatting>
  <conditionalFormatting sqref="L43:M46">
    <cfRule type="cellIs" dxfId="120" priority="37" operator="equal">
      <formula>0</formula>
    </cfRule>
  </conditionalFormatting>
  <conditionalFormatting sqref="M43:M46">
    <cfRule type="expression" dxfId="119" priority="36">
      <formula>AND(M43=0,L43&lt;&gt;"")</formula>
    </cfRule>
  </conditionalFormatting>
  <conditionalFormatting sqref="L43:L46">
    <cfRule type="expression" dxfId="118" priority="35">
      <formula>AND(L43="",M43&gt;0)</formula>
    </cfRule>
  </conditionalFormatting>
  <conditionalFormatting sqref="N43:N46">
    <cfRule type="expression" dxfId="117" priority="34">
      <formula>ISNUMBER(N43)=FALSE</formula>
    </cfRule>
  </conditionalFormatting>
  <conditionalFormatting sqref="R44:R46">
    <cfRule type="containsText" dxfId="116" priority="33" operator="containsText" text="Error">
      <formula>NOT(ISERROR(SEARCH("Error",R44)))</formula>
    </cfRule>
  </conditionalFormatting>
  <conditionalFormatting sqref="D44:E46">
    <cfRule type="containsBlanks" dxfId="115" priority="32">
      <formula>LEN(TRIM(D44))=0</formula>
    </cfRule>
  </conditionalFormatting>
  <conditionalFormatting sqref="H44:H46 K44:K46">
    <cfRule type="expression" dxfId="114" priority="31">
      <formula>ISNUMBER(H44)=FALSE</formula>
    </cfRule>
  </conditionalFormatting>
  <conditionalFormatting sqref="F44:K46 B44:C46">
    <cfRule type="containsBlanks" dxfId="113" priority="30">
      <formula>LEN(TRIM(B44))=0</formula>
    </cfRule>
  </conditionalFormatting>
  <conditionalFormatting sqref="K44:K46">
    <cfRule type="cellIs" dxfId="112" priority="28" operator="lessThan">
      <formula>0</formula>
    </cfRule>
    <cfRule type="cellIs" dxfId="111" priority="29" operator="equal">
      <formula>0</formula>
    </cfRule>
  </conditionalFormatting>
  <conditionalFormatting sqref="H44:H46">
    <cfRule type="cellIs" dxfId="110" priority="27" operator="lessThanOrEqual">
      <formula>0</formula>
    </cfRule>
  </conditionalFormatting>
  <conditionalFormatting sqref="L44:M46">
    <cfRule type="cellIs" dxfId="109" priority="26" operator="equal">
      <formula>0</formula>
    </cfRule>
  </conditionalFormatting>
  <conditionalFormatting sqref="M44:M46">
    <cfRule type="expression" dxfId="108" priority="25">
      <formula>AND(M44=0,L44&lt;&gt;"")</formula>
    </cfRule>
  </conditionalFormatting>
  <conditionalFormatting sqref="L44:L46">
    <cfRule type="expression" dxfId="107" priority="24">
      <formula>AND(L44="",M44&gt;0)</formula>
    </cfRule>
  </conditionalFormatting>
  <conditionalFormatting sqref="N44:N46">
    <cfRule type="expression" dxfId="106" priority="23">
      <formula>ISNUMBER(N44)=FALSE</formula>
    </cfRule>
  </conditionalFormatting>
  <conditionalFormatting sqref="R45:R46">
    <cfRule type="containsText" dxfId="105" priority="22" operator="containsText" text="Error">
      <formula>NOT(ISERROR(SEARCH("Error",R45)))</formula>
    </cfRule>
  </conditionalFormatting>
  <conditionalFormatting sqref="D45:E46">
    <cfRule type="containsBlanks" dxfId="104" priority="21">
      <formula>LEN(TRIM(D45))=0</formula>
    </cfRule>
  </conditionalFormatting>
  <conditionalFormatting sqref="H45:H46 K45:K46">
    <cfRule type="expression" dxfId="103" priority="20">
      <formula>ISNUMBER(H45)=FALSE</formula>
    </cfRule>
  </conditionalFormatting>
  <conditionalFormatting sqref="F45:K46 B45:C46">
    <cfRule type="containsBlanks" dxfId="102" priority="19">
      <formula>LEN(TRIM(B45))=0</formula>
    </cfRule>
  </conditionalFormatting>
  <conditionalFormatting sqref="K45:K46">
    <cfRule type="cellIs" dxfId="101" priority="17" operator="lessThan">
      <formula>0</formula>
    </cfRule>
    <cfRule type="cellIs" dxfId="100" priority="18" operator="equal">
      <formula>0</formula>
    </cfRule>
  </conditionalFormatting>
  <conditionalFormatting sqref="H45:H46">
    <cfRule type="cellIs" dxfId="99" priority="16" operator="lessThanOrEqual">
      <formula>0</formula>
    </cfRule>
  </conditionalFormatting>
  <conditionalFormatting sqref="L45:M46">
    <cfRule type="cellIs" dxfId="98" priority="15" operator="equal">
      <formula>0</formula>
    </cfRule>
  </conditionalFormatting>
  <conditionalFormatting sqref="M45:M46">
    <cfRule type="expression" dxfId="97" priority="14">
      <formula>AND(M45=0,L45&lt;&gt;"")</formula>
    </cfRule>
  </conditionalFormatting>
  <conditionalFormatting sqref="L45:L46">
    <cfRule type="expression" dxfId="96" priority="13">
      <formula>AND(L45="",M45&gt;0)</formula>
    </cfRule>
  </conditionalFormatting>
  <conditionalFormatting sqref="N45:N46">
    <cfRule type="expression" dxfId="95" priority="12">
      <formula>ISNUMBER(N45)=FALSE</formula>
    </cfRule>
  </conditionalFormatting>
  <conditionalFormatting sqref="R46">
    <cfRule type="containsText" dxfId="94" priority="11" operator="containsText" text="Error">
      <formula>NOT(ISERROR(SEARCH("Error",R46)))</formula>
    </cfRule>
  </conditionalFormatting>
  <conditionalFormatting sqref="D46:E46">
    <cfRule type="containsBlanks" dxfId="93" priority="10">
      <formula>LEN(TRIM(D46))=0</formula>
    </cfRule>
  </conditionalFormatting>
  <conditionalFormatting sqref="H46 K46">
    <cfRule type="expression" dxfId="92" priority="9">
      <formula>ISNUMBER(H46)=FALSE</formula>
    </cfRule>
  </conditionalFormatting>
  <conditionalFormatting sqref="F46:K46 B46:C46">
    <cfRule type="containsBlanks" dxfId="91" priority="8">
      <formula>LEN(TRIM(B46))=0</formula>
    </cfRule>
  </conditionalFormatting>
  <conditionalFormatting sqref="K46">
    <cfRule type="cellIs" dxfId="90" priority="6" operator="lessThan">
      <formula>0</formula>
    </cfRule>
    <cfRule type="cellIs" dxfId="89" priority="7" operator="equal">
      <formula>0</formula>
    </cfRule>
  </conditionalFormatting>
  <conditionalFormatting sqref="H46">
    <cfRule type="cellIs" dxfId="88" priority="5" operator="lessThanOrEqual">
      <formula>0</formula>
    </cfRule>
  </conditionalFormatting>
  <conditionalFormatting sqref="L46:M46">
    <cfRule type="cellIs" dxfId="87" priority="4" operator="equal">
      <formula>0</formula>
    </cfRule>
  </conditionalFormatting>
  <conditionalFormatting sqref="M46">
    <cfRule type="expression" dxfId="86" priority="3">
      <formula>AND(M46=0,L46&lt;&gt;"")</formula>
    </cfRule>
  </conditionalFormatting>
  <conditionalFormatting sqref="L46">
    <cfRule type="expression" dxfId="85" priority="2">
      <formula>AND(L46="",M46&gt;0)</formula>
    </cfRule>
  </conditionalFormatting>
  <conditionalFormatting sqref="N46">
    <cfRule type="expression" dxfId="84" priority="1">
      <formula>ISNUMBER(N46)=FALSE</formula>
    </cfRule>
  </conditionalFormatting>
  <dataValidations xWindow="336" yWindow="937" count="11">
    <dataValidation allowBlank="1" showInputMessage="1" errorTitle="Warning: Max Ceilings exceeded" error="Please be aware that this exceed the &quot;Ceilings&quot; for the maximum amounts for staff cost by country" sqref="N13:O46"/>
    <dataValidation allowBlank="1" showInputMessage="1" showErrorMessage="1" error="Please encode City of Destination" prompt="Please encode City of Destination" sqref="I13:I46"/>
    <dataValidation type="whole" allowBlank="1" showInputMessage="1" showErrorMessage="1" error="Format error (whole number only)" prompt="Please encode number (whole number only)" sqref="H13:H46">
      <formula1>0</formula1>
      <formula2>50000</formula2>
    </dataValidation>
    <dataValidation allowBlank="1" showInputMessage="1" showErrorMessage="1" error="Please encode City of Departure" prompt="Please encode City of Departure" sqref="F13:F46"/>
    <dataValidation type="whole" allowBlank="1" showInputMessage="1" showErrorMessage="1" error="Please encode the number of days - Max 90 days for Student and Staff (whole number only)" prompt="Please encode the number of days - Max 90 days for Student and Staff (whole number only)" sqref="K13:K46">
      <formula1>0</formula1>
      <formula2>90</formula2>
    </dataValidation>
    <dataValidation type="list" allowBlank="1" showInputMessage="1" showErrorMessage="1" error="Click arrow to select Category" prompt="Click arrow to select Category" sqref="G13:G46">
      <formula1>Category2</formula1>
    </dataValidation>
    <dataValidation type="list" allowBlank="1" showInputMessage="1" showErrorMessage="1" error="Click arrow to select Work Package" prompt="Click arrow to select Work Package" sqref="B13:B46">
      <formula1>WorkPackage</formula1>
    </dataValidation>
    <dataValidation type="list" allowBlank="1" showInputMessage="1" showErrorMessage="1" error="Click arrow to select Distance" prompt="Click arrow to select Distance" sqref="J13:J46">
      <formula1>TravelBands</formula1>
    </dataValidation>
    <dataValidation type="list" allowBlank="1" showInputMessage="1" showErrorMessage="1" error="Click arrow to select Partner N°" prompt="Click arrow to select Partner N°" sqref="C13:C46">
      <formula1>PartnerN°</formula1>
    </dataValidation>
    <dataValidation type="list" allowBlank="1" showInputMessage="1" showErrorMessage="1" errorTitle="Select correct option" error="Please use the drop down menu to select the correct option" sqref="L13:L46">
      <formula1>Exceptional_costs</formula1>
    </dataValidation>
    <dataValidation type="decimal" operator="greaterThanOrEqual" allowBlank="1" showInputMessage="1" showErrorMessage="1" errorTitle="Warning: Cost must be number" error="Please enter a numeric value." sqref="M13:M46">
      <formula1>0</formula1>
    </dataValidation>
  </dataValidations>
  <printOptions horizontalCentered="1"/>
  <pageMargins left="0.23622047244094491" right="0.23622047244094491" top="0.39370078740157483" bottom="0.94488188976377963" header="0.31496062992125984" footer="0.31496062992125984"/>
  <pageSetup paperSize="9" scale="39" fitToHeight="0" orientation="landscape"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52" r:id="rId4" name="Button 3">
              <controlPr defaultSize="0" print="0" autoFill="0" autoPict="0" macro="[0]!Button3_Click">
                <anchor moveWithCells="1" sizeWithCells="1">
                  <from>
                    <xdr:col>3</xdr:col>
                    <xdr:colOff>2118360</xdr:colOff>
                    <xdr:row>1</xdr:row>
                    <xdr:rowOff>83820</xdr:rowOff>
                  </from>
                  <to>
                    <xdr:col>4</xdr:col>
                    <xdr:colOff>525780</xdr:colOff>
                    <xdr:row>1</xdr:row>
                    <xdr:rowOff>449580</xdr:rowOff>
                  </to>
                </anchor>
              </controlPr>
            </control>
          </mc:Choice>
        </mc:AlternateContent>
        <mc:AlternateContent xmlns:mc="http://schemas.openxmlformats.org/markup-compatibility/2006">
          <mc:Choice Requires="x14">
            <control shapeId="5164" r:id="rId5"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5165" r:id="rId6"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5166" r:id="rId7" name="Button 46">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3" tint="0.39997558519241921"/>
    <pageSetUpPr fitToPage="1"/>
  </sheetPr>
  <dimension ref="B1:I16"/>
  <sheetViews>
    <sheetView showGridLines="0" zoomScale="70" zoomScaleNormal="70" zoomScaleSheetLayoutView="55" workbookViewId="0">
      <pane ySplit="13" topLeftCell="A14" activePane="bottomLeft" state="frozen"/>
      <selection pane="bottomLeft" activeCell="B14" sqref="B14"/>
    </sheetView>
  </sheetViews>
  <sheetFormatPr defaultRowHeight="18" x14ac:dyDescent="0.35"/>
  <cols>
    <col min="1" max="1" width="1.6640625" style="1" customWidth="1"/>
    <col min="2" max="2" width="42.6640625" style="1" customWidth="1"/>
    <col min="3" max="3" width="10.6640625" style="1" customWidth="1"/>
    <col min="4" max="5" width="50.6640625" style="1" customWidth="1"/>
    <col min="6" max="6" width="120.6640625" style="1" customWidth="1"/>
    <col min="7" max="8" width="20.6640625" style="1" customWidth="1"/>
    <col min="9" max="9" width="11.6640625" style="1" customWidth="1"/>
    <col min="10" max="10" width="1.6640625" style="1" customWidth="1"/>
    <col min="11" max="16384" width="8.88671875" style="1"/>
  </cols>
  <sheetData>
    <row r="1" spans="2:9" ht="8.1" customHeight="1" x14ac:dyDescent="0.35">
      <c r="B1" s="212"/>
      <c r="C1" s="212"/>
      <c r="D1" s="212"/>
      <c r="E1" s="212"/>
      <c r="F1" s="212"/>
      <c r="G1" s="212"/>
      <c r="H1" s="212"/>
      <c r="I1" s="212"/>
    </row>
    <row r="2" spans="2:9" s="20" customFormat="1" ht="39.9" customHeight="1" x14ac:dyDescent="0.35">
      <c r="B2" s="190" t="s">
        <v>13</v>
      </c>
      <c r="C2" s="190"/>
      <c r="D2" s="190"/>
      <c r="E2" s="190"/>
      <c r="F2" s="190"/>
      <c r="G2" s="190"/>
      <c r="H2" s="190"/>
      <c r="I2" s="190"/>
    </row>
    <row r="3" spans="2:9" s="20" customFormat="1" ht="8.1" customHeight="1" x14ac:dyDescent="0.35">
      <c r="B3" s="169"/>
      <c r="C3" s="170"/>
      <c r="D3" s="170"/>
      <c r="E3" s="170"/>
      <c r="F3" s="170"/>
      <c r="G3" s="170"/>
      <c r="H3" s="170"/>
      <c r="I3" s="171"/>
    </row>
    <row r="4" spans="2:9" s="20" customFormat="1" ht="9.9" customHeight="1" x14ac:dyDescent="0.35">
      <c r="B4" s="215" t="s">
        <v>108</v>
      </c>
      <c r="C4" s="218">
        <f>SUM(H:H)</f>
        <v>210000</v>
      </c>
      <c r="D4" s="219"/>
      <c r="E4" s="163"/>
      <c r="F4" s="164"/>
      <c r="G4" s="164"/>
      <c r="H4" s="164"/>
      <c r="I4" s="165"/>
    </row>
    <row r="5" spans="2:9" s="20" customFormat="1" ht="9.9" customHeight="1" x14ac:dyDescent="0.35">
      <c r="B5" s="216"/>
      <c r="C5" s="220"/>
      <c r="D5" s="221"/>
      <c r="E5" s="163"/>
      <c r="F5" s="164"/>
      <c r="G5" s="164"/>
      <c r="H5" s="164"/>
      <c r="I5" s="165"/>
    </row>
    <row r="6" spans="2:9" s="20" customFormat="1" ht="9.9" customHeight="1" x14ac:dyDescent="0.35">
      <c r="B6" s="216"/>
      <c r="C6" s="220"/>
      <c r="D6" s="221"/>
      <c r="E6" s="163"/>
      <c r="F6" s="164"/>
      <c r="G6" s="164"/>
      <c r="H6" s="164"/>
      <c r="I6" s="165"/>
    </row>
    <row r="7" spans="2:9" s="20" customFormat="1" ht="9.9" customHeight="1" x14ac:dyDescent="0.35">
      <c r="B7" s="216"/>
      <c r="C7" s="220"/>
      <c r="D7" s="221"/>
      <c r="E7" s="163"/>
      <c r="F7" s="164"/>
      <c r="G7" s="164"/>
      <c r="H7" s="164"/>
      <c r="I7" s="165"/>
    </row>
    <row r="8" spans="2:9" s="20" customFormat="1" ht="9.9" customHeight="1" x14ac:dyDescent="0.35">
      <c r="B8" s="216"/>
      <c r="C8" s="220"/>
      <c r="D8" s="221"/>
      <c r="E8" s="163"/>
      <c r="F8" s="164"/>
      <c r="G8" s="164"/>
      <c r="H8" s="164"/>
      <c r="I8" s="165"/>
    </row>
    <row r="9" spans="2:9" s="20" customFormat="1" ht="9.9" customHeight="1" x14ac:dyDescent="0.35">
      <c r="B9" s="217"/>
      <c r="C9" s="222"/>
      <c r="D9" s="223"/>
      <c r="E9" s="163"/>
      <c r="F9" s="164"/>
      <c r="G9" s="164"/>
      <c r="H9" s="164"/>
      <c r="I9" s="165"/>
    </row>
    <row r="10" spans="2:9" s="20" customFormat="1" ht="8.1" customHeight="1" x14ac:dyDescent="0.35">
      <c r="B10" s="166"/>
      <c r="C10" s="167"/>
      <c r="D10" s="167"/>
      <c r="E10" s="167"/>
      <c r="F10" s="167"/>
      <c r="G10" s="167"/>
      <c r="H10" s="167"/>
      <c r="I10" s="168"/>
    </row>
    <row r="11" spans="2:9" s="45" customFormat="1" ht="42" customHeight="1" x14ac:dyDescent="0.35">
      <c r="B11" s="161" t="s">
        <v>114</v>
      </c>
      <c r="C11" s="161" t="s">
        <v>18</v>
      </c>
      <c r="D11" s="161" t="s">
        <v>115</v>
      </c>
      <c r="E11" s="214" t="s">
        <v>116</v>
      </c>
      <c r="F11" s="173" t="s">
        <v>148</v>
      </c>
      <c r="G11" s="213" t="s">
        <v>149</v>
      </c>
      <c r="H11" s="213" t="s">
        <v>122</v>
      </c>
      <c r="I11" s="213" t="s">
        <v>119</v>
      </c>
    </row>
    <row r="12" spans="2:9" ht="23.85" customHeight="1" x14ac:dyDescent="0.35">
      <c r="B12" s="162"/>
      <c r="C12" s="162"/>
      <c r="D12" s="162"/>
      <c r="E12" s="173"/>
      <c r="F12" s="162"/>
      <c r="G12" s="162"/>
      <c r="H12" s="162"/>
      <c r="I12" s="162"/>
    </row>
    <row r="13" spans="2:9" s="34" customFormat="1" hidden="1" x14ac:dyDescent="0.3">
      <c r="B13" s="14"/>
      <c r="C13" s="19"/>
      <c r="D13" s="42" t="str">
        <f>IFERROR(IF(VLOOKUP(C13,PartnerN°Ref,2,FALSE)=0,"",VLOOKUP(C13,PartnerN°Ref,2,FALSE)),"")</f>
        <v/>
      </c>
      <c r="E13" s="42" t="str">
        <f>IFERROR(IF(OR(VLOOKUP(C13,PartnerN°Ref,4,FALSE)="Country not found",VLOOKUP(C13,PartnerN°Ref,3,FALSE)=0),"",VLOOKUP(C13,PartnerN°Ref,3,FALSE)),"")</f>
        <v/>
      </c>
      <c r="F13" s="18"/>
      <c r="G13" s="35">
        <v>0</v>
      </c>
      <c r="H13" s="36">
        <f>IF(I13="Error",0,ROUND(G13,2))</f>
        <v>0</v>
      </c>
      <c r="I13" s="33" t="str">
        <f>IF(OR(COUNTIF(WorkPackage,B13)=0,COUNTIF(PartnerN°,C13)=0,D13="",COUNTIF(CountryEligEquip,E13)=0,F13="",ISNUMBER(G13)=FALSE,IF(ISNUMBER(G13)=TRUE,G13=INT(G13*100)/100=FALSE)),"Error","")</f>
        <v>Error</v>
      </c>
    </row>
    <row r="14" spans="2:9" s="34" customFormat="1" x14ac:dyDescent="0.3">
      <c r="B14" s="14" t="s">
        <v>123</v>
      </c>
      <c r="C14" s="19" t="s">
        <v>46</v>
      </c>
      <c r="D14" s="42" t="str">
        <f>IFERROR(IF(VLOOKUP(C14,PartnerN°Ref,2,FALSE)=0,"",VLOOKUP(C14,PartnerN°Ref,2,FALSE)),"")</f>
        <v>Eko Albanija</v>
      </c>
      <c r="E14" s="42" t="str">
        <f>IFERROR(IF(OR(VLOOKUP(C14,PartnerN°Ref,4,FALSE)="Country not found",VLOOKUP(C14,PartnerN°Ref,3,FALSE)=0),"",VLOOKUP(C14,PartnerN°Ref,3,FALSE)),"")</f>
        <v>Albania</v>
      </c>
      <c r="F14" s="100" t="s">
        <v>406</v>
      </c>
      <c r="G14" s="35">
        <v>70000</v>
      </c>
      <c r="H14" s="36">
        <f>IF(I14="Error",0,ROUND(G14,2))</f>
        <v>70000</v>
      </c>
      <c r="I14" s="33" t="str">
        <f>IF(OR(COUNTIF(WorkPackage,B14)=0,COUNTIF(PartnerN°,C14)=0,D14="",COUNTIF(CountryEligEquip,E14)=0,F14="",ISNUMBER(G14)=FALSE,IF(ISNUMBER(G14)=TRUE,G14=INT(G14*100)/100=FALSE)),"Error","")</f>
        <v/>
      </c>
    </row>
    <row r="15" spans="2:9" s="103" customFormat="1" x14ac:dyDescent="0.3">
      <c r="B15" s="99" t="s">
        <v>123</v>
      </c>
      <c r="C15" s="101" t="s">
        <v>46</v>
      </c>
      <c r="D15" s="106" t="str">
        <f>IFERROR(IF(VLOOKUP(C15,PartnerN°Ref,2,FALSE)=0,"",VLOOKUP(C15,PartnerN°Ref,2,FALSE)),"")</f>
        <v>Eko Albanija</v>
      </c>
      <c r="E15" s="106" t="str">
        <f>IFERROR(IF(OR(VLOOKUP(C15,PartnerN°Ref,4,FALSE)="Country not found",VLOOKUP(C15,PartnerN°Ref,3,FALSE)=0),"",VLOOKUP(C15,PartnerN°Ref,3,FALSE)),"")</f>
        <v>Albania</v>
      </c>
      <c r="F15" s="100" t="s">
        <v>407</v>
      </c>
      <c r="G15" s="104">
        <v>70000</v>
      </c>
      <c r="H15" s="105">
        <f>IF(I15="Error",0,ROUND(G15,2))</f>
        <v>70000</v>
      </c>
      <c r="I15" s="102" t="str">
        <f>IF(OR(COUNTIF(WorkPackage,B15)=0,COUNTIF(PartnerN°,C15)=0,D15="",COUNTIF(CountryEligEquip,E15)=0,F15="",ISNUMBER(G15)=FALSE,IF(ISNUMBER(G15)=TRUE,G15=INT(G15*100)/100=FALSE)),"Error","")</f>
        <v/>
      </c>
    </row>
    <row r="16" spans="2:9" s="103" customFormat="1" x14ac:dyDescent="0.3">
      <c r="B16" s="99" t="s">
        <v>124</v>
      </c>
      <c r="C16" s="101" t="s">
        <v>46</v>
      </c>
      <c r="D16" s="106" t="str">
        <f>IFERROR(IF(VLOOKUP(C16,PartnerN°Ref,2,FALSE)=0,"",VLOOKUP(C16,PartnerN°Ref,2,FALSE)),"")</f>
        <v>Eko Albanija</v>
      </c>
      <c r="E16" s="106" t="str">
        <f>IFERROR(IF(OR(VLOOKUP(C16,PartnerN°Ref,4,FALSE)="Country not found",VLOOKUP(C16,PartnerN°Ref,3,FALSE)=0),"",VLOOKUP(C16,PartnerN°Ref,3,FALSE)),"")</f>
        <v>Albania</v>
      </c>
      <c r="F16" s="100" t="s">
        <v>408</v>
      </c>
      <c r="G16" s="104">
        <v>70000</v>
      </c>
      <c r="H16" s="105">
        <f>IF(I16="Error",0,ROUND(G16,2))</f>
        <v>70000</v>
      </c>
      <c r="I16" s="102" t="str">
        <f>IF(OR(COUNTIF(WorkPackage,B16)=0,COUNTIF(PartnerN°,C16)=0,D16="",COUNTIF(CountryEligEquip,E16)=0,F16="",ISNUMBER(G16)=FALSE,IF(ISNUMBER(G16)=TRUE,G16=INT(G16*100)/100=FALSE)),"Error","")</f>
        <v/>
      </c>
    </row>
  </sheetData>
  <sheetProtection password="AD90" sheet="1" objects="1" scenarios="1" selectLockedCells="1"/>
  <dataConsolidate/>
  <mergeCells count="15">
    <mergeCell ref="B1:I1"/>
    <mergeCell ref="B3:I3"/>
    <mergeCell ref="B10:I10"/>
    <mergeCell ref="E4:I9"/>
    <mergeCell ref="I11:I12"/>
    <mergeCell ref="B2:I2"/>
    <mergeCell ref="H11:H12"/>
    <mergeCell ref="G11:G12"/>
    <mergeCell ref="F11:F12"/>
    <mergeCell ref="E11:E12"/>
    <mergeCell ref="B4:B9"/>
    <mergeCell ref="C4:D9"/>
    <mergeCell ref="D11:D12"/>
    <mergeCell ref="B11:B12"/>
    <mergeCell ref="C11:C12"/>
  </mergeCells>
  <conditionalFormatting sqref="I13:I14">
    <cfRule type="containsText" dxfId="83" priority="380" operator="containsText" text="Error">
      <formula>NOT(ISERROR(SEARCH("Error",I13)))</formula>
    </cfRule>
  </conditionalFormatting>
  <conditionalFormatting sqref="D13:E14">
    <cfRule type="containsBlanks" dxfId="82" priority="375">
      <formula>LEN(TRIM(D13))=0</formula>
    </cfRule>
  </conditionalFormatting>
  <conditionalFormatting sqref="E13">
    <cfRule type="expression" dxfId="81" priority="297">
      <formula>COUNTIF(CountryEligEquip,E13)=0</formula>
    </cfRule>
  </conditionalFormatting>
  <conditionalFormatting sqref="E14">
    <cfRule type="expression" dxfId="80" priority="298">
      <formula>COUNTIF(CountryEligEquip,E14)=0</formula>
    </cfRule>
  </conditionalFormatting>
  <conditionalFormatting sqref="G13">
    <cfRule type="cellIs" dxfId="79" priority="26" operator="lessThanOrEqual">
      <formula>0</formula>
    </cfRule>
  </conditionalFormatting>
  <conditionalFormatting sqref="F13:G13">
    <cfRule type="containsBlanks" dxfId="78" priority="23">
      <formula>LEN(TRIM(F13))=0</formula>
    </cfRule>
  </conditionalFormatting>
  <conditionalFormatting sqref="G14">
    <cfRule type="cellIs" dxfId="77" priority="22" operator="lessThanOrEqual">
      <formula>0</formula>
    </cfRule>
  </conditionalFormatting>
  <conditionalFormatting sqref="F14:G14">
    <cfRule type="containsBlanks" dxfId="76" priority="21">
      <formula>LEN(TRIM(F14))=0</formula>
    </cfRule>
  </conditionalFormatting>
  <conditionalFormatting sqref="B13:C13">
    <cfRule type="containsBlanks" dxfId="75" priority="20">
      <formula>LEN(TRIM(B13))=0</formula>
    </cfRule>
  </conditionalFormatting>
  <conditionalFormatting sqref="B14:C14">
    <cfRule type="containsBlanks" dxfId="74" priority="19">
      <formula>LEN(TRIM(B14))=0</formula>
    </cfRule>
  </conditionalFormatting>
  <conditionalFormatting sqref="I15">
    <cfRule type="containsText" dxfId="73" priority="12" operator="containsText" text="Error">
      <formula>NOT(ISERROR(SEARCH("Error",I15)))</formula>
    </cfRule>
  </conditionalFormatting>
  <conditionalFormatting sqref="D15:E15">
    <cfRule type="containsBlanks" dxfId="72" priority="11">
      <formula>LEN(TRIM(D15))=0</formula>
    </cfRule>
  </conditionalFormatting>
  <conditionalFormatting sqref="E15">
    <cfRule type="expression" dxfId="71" priority="10">
      <formula>COUNTIF(CountryEligEquip,E15)=0</formula>
    </cfRule>
  </conditionalFormatting>
  <conditionalFormatting sqref="G15">
    <cfRule type="cellIs" dxfId="70" priority="9" operator="lessThanOrEqual">
      <formula>0</formula>
    </cfRule>
  </conditionalFormatting>
  <conditionalFormatting sqref="F15:G15">
    <cfRule type="containsBlanks" dxfId="69" priority="8">
      <formula>LEN(TRIM(F15))=0</formula>
    </cfRule>
  </conditionalFormatting>
  <conditionalFormatting sqref="B15:C15">
    <cfRule type="containsBlanks" dxfId="68" priority="7">
      <formula>LEN(TRIM(B15))=0</formula>
    </cfRule>
  </conditionalFormatting>
  <conditionalFormatting sqref="I16">
    <cfRule type="containsText" dxfId="67" priority="6" operator="containsText" text="Error">
      <formula>NOT(ISERROR(SEARCH("Error",I16)))</formula>
    </cfRule>
  </conditionalFormatting>
  <conditionalFormatting sqref="D16:E16">
    <cfRule type="containsBlanks" dxfId="66" priority="5">
      <formula>LEN(TRIM(D16))=0</formula>
    </cfRule>
  </conditionalFormatting>
  <conditionalFormatting sqref="E16">
    <cfRule type="expression" dxfId="65" priority="4">
      <formula>COUNTIF(CountryEligEquip,E16)=0</formula>
    </cfRule>
  </conditionalFormatting>
  <conditionalFormatting sqref="G16">
    <cfRule type="cellIs" dxfId="64" priority="3" operator="lessThanOrEqual">
      <formula>0</formula>
    </cfRule>
  </conditionalFormatting>
  <conditionalFormatting sqref="F16:G16">
    <cfRule type="containsBlanks" dxfId="63" priority="2">
      <formula>LEN(TRIM(F16))=0</formula>
    </cfRule>
  </conditionalFormatting>
  <conditionalFormatting sqref="B16:C16">
    <cfRule type="containsBlanks" dxfId="62" priority="1">
      <formula>LEN(TRIM(B16))=0</formula>
    </cfRule>
  </conditionalFormatting>
  <dataValidations count="4">
    <dataValidation type="custom" allowBlank="1" showInputMessage="1" showErrorMessage="1" error="Format error (2 decimals only)" prompt="Please encode amount (2 decimals only)" sqref="G13:G16">
      <formula1>G13=INT(G13*100)/100</formula1>
    </dataValidation>
    <dataValidation allowBlank="1" showInputMessage="1" showErrorMessage="1" error="Please encode Nature, type and specifications" prompt="Please encode Nature, type and specifications" sqref="F13:F16"/>
    <dataValidation type="list" allowBlank="1" showInputMessage="1" showErrorMessage="1" error="Click arrow to select Work Package" prompt="Click arrow to select Work Package" sqref="B13:B16">
      <formula1>WorkPackage</formula1>
    </dataValidation>
    <dataValidation type="list" allowBlank="1" showInputMessage="1" showErrorMessage="1" error="Click arrow to select Partner N°" prompt="Click arrow to select Partner N°" sqref="C13:C16">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2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8226"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8227" r:id="rId6" name="Button 35">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3" tint="0.39997558519241921"/>
    <pageSetUpPr fitToPage="1"/>
  </sheetPr>
  <dimension ref="B1:I17"/>
  <sheetViews>
    <sheetView showGridLines="0" topLeftCell="B1" zoomScale="70" zoomScaleNormal="70" zoomScaleSheetLayoutView="55" workbookViewId="0">
      <pane ySplit="13" topLeftCell="A14" activePane="bottomLeft" state="frozen"/>
      <selection pane="bottomLeft" activeCell="B14" sqref="B14"/>
    </sheetView>
  </sheetViews>
  <sheetFormatPr defaultRowHeight="18" x14ac:dyDescent="0.35"/>
  <cols>
    <col min="1" max="1" width="1.6640625" style="1" customWidth="1"/>
    <col min="2" max="2" width="42.6640625" style="1" customWidth="1"/>
    <col min="3" max="3" width="10.6640625" style="1" customWidth="1"/>
    <col min="4" max="5" width="50.6640625" style="1" customWidth="1"/>
    <col min="6" max="6" width="120.6640625" style="1" customWidth="1"/>
    <col min="7" max="8" width="20.6640625" style="1" customWidth="1"/>
    <col min="9" max="9" width="11.6640625" style="1" customWidth="1"/>
    <col min="10" max="10" width="1.6640625" style="1" customWidth="1"/>
    <col min="11" max="16384" width="8.88671875" style="1"/>
  </cols>
  <sheetData>
    <row r="1" spans="2:9" ht="8.1" customHeight="1" x14ac:dyDescent="0.35">
      <c r="B1" s="212"/>
      <c r="C1" s="212"/>
      <c r="D1" s="212"/>
      <c r="E1" s="212"/>
      <c r="F1" s="212"/>
      <c r="G1" s="212"/>
      <c r="H1" s="212"/>
      <c r="I1" s="212"/>
    </row>
    <row r="2" spans="2:9" s="20" customFormat="1" ht="39.9" customHeight="1" x14ac:dyDescent="0.35">
      <c r="B2" s="190" t="s">
        <v>14</v>
      </c>
      <c r="C2" s="190"/>
      <c r="D2" s="190"/>
      <c r="E2" s="190"/>
      <c r="F2" s="190"/>
      <c r="G2" s="190"/>
      <c r="H2" s="190"/>
      <c r="I2" s="190"/>
    </row>
    <row r="3" spans="2:9" s="20" customFormat="1" ht="8.1" customHeight="1" x14ac:dyDescent="0.35">
      <c r="B3" s="169"/>
      <c r="C3" s="170"/>
      <c r="D3" s="170"/>
      <c r="E3" s="170"/>
      <c r="F3" s="170"/>
      <c r="G3" s="170"/>
      <c r="H3" s="170"/>
      <c r="I3" s="171"/>
    </row>
    <row r="4" spans="2:9" s="20" customFormat="1" ht="9.9" customHeight="1" x14ac:dyDescent="0.35">
      <c r="B4" s="215" t="s">
        <v>108</v>
      </c>
      <c r="C4" s="218">
        <f>SUM(H:H)</f>
        <v>60000</v>
      </c>
      <c r="D4" s="219"/>
      <c r="E4" s="163"/>
      <c r="F4" s="164"/>
      <c r="G4" s="164"/>
      <c r="H4" s="164"/>
      <c r="I4" s="165"/>
    </row>
    <row r="5" spans="2:9" s="20" customFormat="1" ht="9.9" customHeight="1" x14ac:dyDescent="0.35">
      <c r="B5" s="216"/>
      <c r="C5" s="220"/>
      <c r="D5" s="221"/>
      <c r="E5" s="163"/>
      <c r="F5" s="164"/>
      <c r="G5" s="164"/>
      <c r="H5" s="164"/>
      <c r="I5" s="165"/>
    </row>
    <row r="6" spans="2:9" s="20" customFormat="1" ht="9.9" customHeight="1" x14ac:dyDescent="0.35">
      <c r="B6" s="216"/>
      <c r="C6" s="220"/>
      <c r="D6" s="221"/>
      <c r="E6" s="163"/>
      <c r="F6" s="164"/>
      <c r="G6" s="164"/>
      <c r="H6" s="164"/>
      <c r="I6" s="165"/>
    </row>
    <row r="7" spans="2:9" s="20" customFormat="1" ht="9.9" customHeight="1" x14ac:dyDescent="0.35">
      <c r="B7" s="216"/>
      <c r="C7" s="220"/>
      <c r="D7" s="221"/>
      <c r="E7" s="163"/>
      <c r="F7" s="164"/>
      <c r="G7" s="164"/>
      <c r="H7" s="164"/>
      <c r="I7" s="165"/>
    </row>
    <row r="8" spans="2:9" s="20" customFormat="1" ht="9.9" customHeight="1" x14ac:dyDescent="0.35">
      <c r="B8" s="216"/>
      <c r="C8" s="220"/>
      <c r="D8" s="221"/>
      <c r="E8" s="163"/>
      <c r="F8" s="164"/>
      <c r="G8" s="164"/>
      <c r="H8" s="164"/>
      <c r="I8" s="165"/>
    </row>
    <row r="9" spans="2:9" s="20" customFormat="1" ht="9.9" customHeight="1" x14ac:dyDescent="0.35">
      <c r="B9" s="217"/>
      <c r="C9" s="222"/>
      <c r="D9" s="223"/>
      <c r="E9" s="163"/>
      <c r="F9" s="164"/>
      <c r="G9" s="164"/>
      <c r="H9" s="164"/>
      <c r="I9" s="165"/>
    </row>
    <row r="10" spans="2:9" s="20" customFormat="1" ht="8.1" customHeight="1" x14ac:dyDescent="0.35">
      <c r="B10" s="166"/>
      <c r="C10" s="167"/>
      <c r="D10" s="167"/>
      <c r="E10" s="167"/>
      <c r="F10" s="167"/>
      <c r="G10" s="167"/>
      <c r="H10" s="167"/>
      <c r="I10" s="168"/>
    </row>
    <row r="11" spans="2:9" s="45" customFormat="1" ht="42" customHeight="1" x14ac:dyDescent="0.35">
      <c r="B11" s="161" t="s">
        <v>114</v>
      </c>
      <c r="C11" s="161" t="s">
        <v>18</v>
      </c>
      <c r="D11" s="161" t="s">
        <v>115</v>
      </c>
      <c r="E11" s="161" t="s">
        <v>116</v>
      </c>
      <c r="F11" s="173" t="s">
        <v>148</v>
      </c>
      <c r="G11" s="213" t="s">
        <v>149</v>
      </c>
      <c r="H11" s="213" t="s">
        <v>122</v>
      </c>
      <c r="I11" s="213" t="s">
        <v>119</v>
      </c>
    </row>
    <row r="12" spans="2:9" ht="23.85" customHeight="1" x14ac:dyDescent="0.35">
      <c r="B12" s="162"/>
      <c r="C12" s="162"/>
      <c r="D12" s="162"/>
      <c r="E12" s="162"/>
      <c r="F12" s="162"/>
      <c r="G12" s="162"/>
      <c r="H12" s="162"/>
      <c r="I12" s="162"/>
    </row>
    <row r="13" spans="2:9" s="34" customFormat="1" hidden="1" x14ac:dyDescent="0.3">
      <c r="B13" s="14"/>
      <c r="C13" s="19"/>
      <c r="D13" s="42" t="str">
        <f>IFERROR(IF(VLOOKUP(C13,PartnerN°Ref,2,FALSE)=0,"",VLOOKUP(C13,PartnerN°Ref,2,FALSE)),"")</f>
        <v/>
      </c>
      <c r="E13" s="42" t="str">
        <f>IFERROR(IF(OR(VLOOKUP(C13,PartnerN°Ref,4,FALSE)="Country not found",VLOOKUP(C13,PartnerN°Ref,3,FALSE)=0),"",VLOOKUP(C13,PartnerN°Ref,3,FALSE)),"")</f>
        <v/>
      </c>
      <c r="F13" s="18"/>
      <c r="G13" s="35">
        <v>0</v>
      </c>
      <c r="H13" s="36">
        <f>IF(I13="Error",0,ROUND(G13,2))</f>
        <v>0</v>
      </c>
      <c r="I13" s="33" t="str">
        <f>IF(OR(COUNTIF(WorkPackage,B13)=0,COUNTIF(PartnerN°,C13)=0,D13="",COUNTIF(CountryALL,E13)=0,F13="",ISNUMBER(G13)=FALSE,IF(ISNUMBER(G13)=TRUE,G13=INT(G13*100)/100=FALSE)),"Error","")</f>
        <v>Error</v>
      </c>
    </row>
    <row r="14" spans="2:9" s="34" customFormat="1" x14ac:dyDescent="0.3">
      <c r="B14" s="14" t="s">
        <v>126</v>
      </c>
      <c r="C14" s="19" t="s">
        <v>28</v>
      </c>
      <c r="D14" s="42" t="str">
        <f>IFERROR(IF(VLOOKUP(C14,PartnerN°Ref,2,FALSE)=0,"",VLOOKUP(C14,PartnerN°Ref,2,FALSE)),"")</f>
        <v>TeamChatGPT</v>
      </c>
      <c r="E14" s="42" t="str">
        <f>IFERROR(IF(OR(VLOOKUP(C14,PartnerN°Ref,4,FALSE)="Country not found",VLOOKUP(C14,PartnerN°Ref,3,FALSE)=0),"",VLOOKUP(C14,PartnerN°Ref,3,FALSE)),"")</f>
        <v>Serbia</v>
      </c>
      <c r="F14" s="108" t="s">
        <v>409</v>
      </c>
      <c r="G14" s="35">
        <v>20000</v>
      </c>
      <c r="H14" s="36">
        <f>IF(I14="Error",0,ROUND(G14,2))</f>
        <v>20000</v>
      </c>
      <c r="I14" s="33" t="str">
        <f>IF(OR(COUNTIF(WorkPackage,B14)=0,COUNTIF(PartnerN°,C14)=0,D14="",COUNTIF(CountryALL,E14)=0,F14="",ISNUMBER(G14)=FALSE,IF(ISNUMBER(G14)=TRUE,G14=INT(G14*100)/100=FALSE)),"Error","")</f>
        <v/>
      </c>
    </row>
    <row r="15" spans="2:9" s="111" customFormat="1" x14ac:dyDescent="0.3">
      <c r="B15" s="107" t="s">
        <v>126</v>
      </c>
      <c r="C15" s="109" t="s">
        <v>39</v>
      </c>
      <c r="D15" s="114" t="str">
        <f>IFERROR(IF(VLOOKUP(C15,PartnerN°Ref,2,FALSE)=0,"",VLOOKUP(C15,PartnerN°Ref,2,FALSE)),"")</f>
        <v>Eko Centar Srbija</v>
      </c>
      <c r="E15" s="114" t="str">
        <f>IFERROR(IF(OR(VLOOKUP(C15,PartnerN°Ref,4,FALSE)="Country not found",VLOOKUP(C15,PartnerN°Ref,3,FALSE)=0),"",VLOOKUP(C15,PartnerN°Ref,3,FALSE)),"")</f>
        <v>Serbia</v>
      </c>
      <c r="F15" s="115" t="s">
        <v>410</v>
      </c>
      <c r="G15" s="112">
        <v>10000</v>
      </c>
      <c r="H15" s="113">
        <f>IF(I15="Error",0,ROUND(G15,2))</f>
        <v>10000</v>
      </c>
      <c r="I15" s="110" t="str">
        <f>IF(OR(COUNTIF(WorkPackage,B15)=0,COUNTIF(PartnerN°,C15)=0,D15="",COUNTIF(CountryALL,E15)=0,F15="",ISNUMBER(G15)=FALSE,IF(ISNUMBER(G15)=TRUE,G15=INT(G15*100)/100=FALSE)),"Error","")</f>
        <v/>
      </c>
    </row>
    <row r="16" spans="2:9" s="111" customFormat="1" x14ac:dyDescent="0.3">
      <c r="B16" s="107" t="s">
        <v>126</v>
      </c>
      <c r="C16" s="109" t="s">
        <v>39</v>
      </c>
      <c r="D16" s="114" t="str">
        <f>IFERROR(IF(VLOOKUP(C16,PartnerN°Ref,2,FALSE)=0,"",VLOOKUP(C16,PartnerN°Ref,2,FALSE)),"")</f>
        <v>Eko Centar Srbija</v>
      </c>
      <c r="E16" s="114" t="str">
        <f>IFERROR(IF(OR(VLOOKUP(C16,PartnerN°Ref,4,FALSE)="Country not found",VLOOKUP(C16,PartnerN°Ref,3,FALSE)=0),"",VLOOKUP(C16,PartnerN°Ref,3,FALSE)),"")</f>
        <v>Serbia</v>
      </c>
      <c r="F16" s="117" t="s">
        <v>411</v>
      </c>
      <c r="G16" s="112">
        <v>10000</v>
      </c>
      <c r="H16" s="113">
        <f>IF(I16="Error",0,ROUND(G16,2))</f>
        <v>10000</v>
      </c>
      <c r="I16" s="110" t="str">
        <f>IF(OR(COUNTIF(WorkPackage,B16)=0,COUNTIF(PartnerN°,C16)=0,D16="",COUNTIF(CountryALL,E16)=0,F16="",ISNUMBER(G16)=FALSE,IF(ISNUMBER(G16)=TRUE,G16=INT(G16*100)/100=FALSE)),"Error","")</f>
        <v/>
      </c>
    </row>
    <row r="17" spans="2:9" s="120" customFormat="1" x14ac:dyDescent="0.3">
      <c r="B17" s="116" t="s">
        <v>127</v>
      </c>
      <c r="C17" s="118" t="s">
        <v>51</v>
      </c>
      <c r="D17" s="123" t="str">
        <f>IFERROR(IF(VLOOKUP(C17,PartnerN°Ref,2,FALSE)=0,"",VLOOKUP(C17,PartnerN°Ref,2,FALSE)),"")</f>
        <v xml:space="preserve">BUND </v>
      </c>
      <c r="E17" s="123" t="str">
        <f>IFERROR(IF(OR(VLOOKUP(C17,PartnerN°Ref,4,FALSE)="Country not found",VLOOKUP(C17,PartnerN°Ref,3,FALSE)=0),"",VLOOKUP(C17,PartnerN°Ref,3,FALSE)),"")</f>
        <v>Germany</v>
      </c>
      <c r="F17" s="124" t="s">
        <v>412</v>
      </c>
      <c r="G17" s="121">
        <v>20000</v>
      </c>
      <c r="H17" s="122">
        <f>IF(I17="Error",0,ROUND(G17,2))</f>
        <v>20000</v>
      </c>
      <c r="I17" s="119" t="str">
        <f>IF(OR(COUNTIF(WorkPackage,B17)=0,COUNTIF(PartnerN°,C17)=0,D17="",COUNTIF(CountryALL,E17)=0,F17="",ISNUMBER(G17)=FALSE,IF(ISNUMBER(G17)=TRUE,G17=INT(G17*100)/100=FALSE)),"Error","")</f>
        <v/>
      </c>
    </row>
  </sheetData>
  <sheetProtection password="AD90" sheet="1" objects="1" scenarios="1" selectLockedCells="1"/>
  <dataConsolidate/>
  <mergeCells count="15">
    <mergeCell ref="B1:I1"/>
    <mergeCell ref="I11:I12"/>
    <mergeCell ref="B2:I2"/>
    <mergeCell ref="H11:H12"/>
    <mergeCell ref="B4:B9"/>
    <mergeCell ref="C4:D9"/>
    <mergeCell ref="B11:B12"/>
    <mergeCell ref="C11:C12"/>
    <mergeCell ref="D11:D12"/>
    <mergeCell ref="E11:E12"/>
    <mergeCell ref="F11:F12"/>
    <mergeCell ref="G11:G12"/>
    <mergeCell ref="E4:I9"/>
    <mergeCell ref="B3:I3"/>
    <mergeCell ref="B10:I10"/>
  </mergeCells>
  <conditionalFormatting sqref="I13:I14">
    <cfRule type="containsText" dxfId="61" priority="204" operator="containsText" text="Error">
      <formula>NOT(ISERROR(SEARCH("Error",I13)))</formula>
    </cfRule>
  </conditionalFormatting>
  <conditionalFormatting sqref="D13:E14">
    <cfRule type="containsBlanks" dxfId="60" priority="198">
      <formula>LEN(TRIM(D13))=0</formula>
    </cfRule>
  </conditionalFormatting>
  <conditionalFormatting sqref="G13">
    <cfRule type="cellIs" dxfId="59" priority="23" operator="lessThanOrEqual">
      <formula>0</formula>
    </cfRule>
  </conditionalFormatting>
  <conditionalFormatting sqref="F13:G13">
    <cfRule type="containsBlanks" dxfId="58" priority="20">
      <formula>LEN(TRIM(F13))=0</formula>
    </cfRule>
  </conditionalFormatting>
  <conditionalFormatting sqref="G14">
    <cfRule type="cellIs" dxfId="57" priority="19" operator="lessThanOrEqual">
      <formula>0</formula>
    </cfRule>
  </conditionalFormatting>
  <conditionalFormatting sqref="F14:G14">
    <cfRule type="containsBlanks" dxfId="56" priority="18">
      <formula>LEN(TRIM(F14))=0</formula>
    </cfRule>
  </conditionalFormatting>
  <conditionalFormatting sqref="B13:C13">
    <cfRule type="containsBlanks" dxfId="55" priority="17">
      <formula>LEN(TRIM(B13))=0</formula>
    </cfRule>
  </conditionalFormatting>
  <conditionalFormatting sqref="B14:C14">
    <cfRule type="containsBlanks" dxfId="54" priority="16">
      <formula>LEN(TRIM(B14))=0</formula>
    </cfRule>
  </conditionalFormatting>
  <conditionalFormatting sqref="I15">
    <cfRule type="containsText" dxfId="53" priority="15" operator="containsText" text="Error">
      <formula>NOT(ISERROR(SEARCH("Error",I15)))</formula>
    </cfRule>
  </conditionalFormatting>
  <conditionalFormatting sqref="D15:E15">
    <cfRule type="containsBlanks" dxfId="52" priority="14">
      <formula>LEN(TRIM(D15))=0</formula>
    </cfRule>
  </conditionalFormatting>
  <conditionalFormatting sqref="G15">
    <cfRule type="cellIs" dxfId="51" priority="13" operator="lessThanOrEqual">
      <formula>0</formula>
    </cfRule>
  </conditionalFormatting>
  <conditionalFormatting sqref="F15:G15">
    <cfRule type="containsBlanks" dxfId="50" priority="12">
      <formula>LEN(TRIM(F15))=0</formula>
    </cfRule>
  </conditionalFormatting>
  <conditionalFormatting sqref="B15:C15">
    <cfRule type="containsBlanks" dxfId="49" priority="11">
      <formula>LEN(TRIM(B15))=0</formula>
    </cfRule>
  </conditionalFormatting>
  <conditionalFormatting sqref="I16">
    <cfRule type="containsText" dxfId="48" priority="10" operator="containsText" text="Error">
      <formula>NOT(ISERROR(SEARCH("Error",I16)))</formula>
    </cfRule>
  </conditionalFormatting>
  <conditionalFormatting sqref="D16:E16">
    <cfRule type="containsBlanks" dxfId="47" priority="9">
      <formula>LEN(TRIM(D16))=0</formula>
    </cfRule>
  </conditionalFormatting>
  <conditionalFormatting sqref="G16">
    <cfRule type="cellIs" dxfId="46" priority="8" operator="lessThanOrEqual">
      <formula>0</formula>
    </cfRule>
  </conditionalFormatting>
  <conditionalFormatting sqref="F16:G16">
    <cfRule type="containsBlanks" dxfId="45" priority="7">
      <formula>LEN(TRIM(F16))=0</formula>
    </cfRule>
  </conditionalFormatting>
  <conditionalFormatting sqref="B16:C16">
    <cfRule type="containsBlanks" dxfId="44" priority="6">
      <formula>LEN(TRIM(B16))=0</formula>
    </cfRule>
  </conditionalFormatting>
  <conditionalFormatting sqref="I17">
    <cfRule type="containsText" dxfId="43" priority="5" operator="containsText" text="Error">
      <formula>NOT(ISERROR(SEARCH("Error",I17)))</formula>
    </cfRule>
  </conditionalFormatting>
  <conditionalFormatting sqref="D17:E17">
    <cfRule type="containsBlanks" dxfId="42" priority="4">
      <formula>LEN(TRIM(D17))=0</formula>
    </cfRule>
  </conditionalFormatting>
  <conditionalFormatting sqref="G17">
    <cfRule type="cellIs" dxfId="41" priority="3" operator="lessThanOrEqual">
      <formula>0</formula>
    </cfRule>
  </conditionalFormatting>
  <conditionalFormatting sqref="F17:G17">
    <cfRule type="containsBlanks" dxfId="40" priority="2">
      <formula>LEN(TRIM(F17))=0</formula>
    </cfRule>
  </conditionalFormatting>
  <conditionalFormatting sqref="B17:C17">
    <cfRule type="containsBlanks" dxfId="39" priority="1">
      <formula>LEN(TRIM(B17))=0</formula>
    </cfRule>
  </conditionalFormatting>
  <dataValidations xWindow="126" yWindow="424" count="4">
    <dataValidation type="custom" allowBlank="1" showInputMessage="1" showErrorMessage="1" error="Format error (2 decimals only)" prompt="Please encode amount (2 decimals only)" sqref="G13:G17">
      <formula1>G13=INT(G13*100)/100</formula1>
    </dataValidation>
    <dataValidation allowBlank="1" showInputMessage="1" showErrorMessage="1" error="Please encode Nature, type and specifications" prompt="Please encode Nature, type and specifications" sqref="F13:F17"/>
    <dataValidation type="list" allowBlank="1" showInputMessage="1" showErrorMessage="1" error="Click arrow to select Work Package" prompt="Click arrow to select Work Package" sqref="B13:B17">
      <formula1>WorkPackage</formula1>
    </dataValidation>
    <dataValidation type="list" allowBlank="1" showInputMessage="1" showErrorMessage="1" error="Click arrow to select Partner N°" prompt="Click arrow to select Partner N°" sqref="C13:C17">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42"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4843"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34844" r:id="rId6" name="Button 28">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7" tint="-0.499984740745262"/>
    <pageSetUpPr fitToPage="1"/>
  </sheetPr>
  <dimension ref="B1:J21"/>
  <sheetViews>
    <sheetView showGridLines="0" topLeftCell="B1" zoomScale="70" zoomScaleNormal="70" zoomScaleSheetLayoutView="55" workbookViewId="0">
      <pane ySplit="13" topLeftCell="A14" activePane="bottomLeft" state="frozen"/>
      <selection pane="bottomLeft" activeCell="F17" sqref="F17"/>
    </sheetView>
  </sheetViews>
  <sheetFormatPr defaultRowHeight="18" x14ac:dyDescent="0.35"/>
  <cols>
    <col min="1" max="1" width="1.6640625" style="1" customWidth="1"/>
    <col min="2" max="2" width="28.6640625" style="1" customWidth="1"/>
    <col min="3" max="4" width="50.6640625" style="1" customWidth="1"/>
    <col min="5" max="5" width="40.6640625" style="1" customWidth="1"/>
    <col min="6" max="6" width="39.6640625" style="1" customWidth="1"/>
    <col min="7" max="7" width="60.6640625" style="1" customWidth="1"/>
    <col min="8" max="9" width="20.6640625" style="1" customWidth="1"/>
    <col min="10" max="10" width="11.6640625" style="1" customWidth="1"/>
    <col min="11" max="11" width="1.6640625" style="1" customWidth="1"/>
    <col min="12" max="16384" width="8.88671875" style="1"/>
  </cols>
  <sheetData>
    <row r="1" spans="2:10" ht="8.1" customHeight="1" x14ac:dyDescent="0.35">
      <c r="B1" s="212"/>
      <c r="C1" s="212"/>
      <c r="D1" s="212"/>
      <c r="E1" s="212"/>
      <c r="F1" s="212"/>
      <c r="G1" s="212"/>
      <c r="H1" s="212"/>
      <c r="I1" s="212"/>
      <c r="J1" s="212"/>
    </row>
    <row r="2" spans="2:10" s="20" customFormat="1" ht="39.9" customHeight="1" x14ac:dyDescent="0.35">
      <c r="B2" s="172" t="s">
        <v>150</v>
      </c>
      <c r="C2" s="172"/>
      <c r="D2" s="172"/>
      <c r="E2" s="172"/>
      <c r="F2" s="172"/>
      <c r="G2" s="172"/>
      <c r="H2" s="172"/>
      <c r="I2" s="172"/>
      <c r="J2" s="172"/>
    </row>
    <row r="3" spans="2:10" s="20" customFormat="1" ht="8.1" customHeight="1" x14ac:dyDescent="0.35">
      <c r="B3" s="169"/>
      <c r="C3" s="170"/>
      <c r="D3" s="170"/>
      <c r="E3" s="170"/>
      <c r="F3" s="170"/>
      <c r="G3" s="170"/>
      <c r="H3" s="170"/>
      <c r="I3" s="170"/>
      <c r="J3" s="171"/>
    </row>
    <row r="4" spans="2:10" s="20" customFormat="1" ht="9.9" customHeight="1" x14ac:dyDescent="0.35">
      <c r="B4" s="227" t="s">
        <v>108</v>
      </c>
      <c r="C4" s="224">
        <f>SUM(I:I)</f>
        <v>160300</v>
      </c>
      <c r="D4" s="230"/>
      <c r="E4" s="231"/>
      <c r="F4" s="231"/>
      <c r="G4" s="231"/>
      <c r="H4" s="231"/>
      <c r="I4" s="231"/>
      <c r="J4" s="232"/>
    </row>
    <row r="5" spans="2:10" s="20" customFormat="1" ht="9.9" customHeight="1" x14ac:dyDescent="0.35">
      <c r="B5" s="228"/>
      <c r="C5" s="225"/>
      <c r="D5" s="230"/>
      <c r="E5" s="231"/>
      <c r="F5" s="231"/>
      <c r="G5" s="231"/>
      <c r="H5" s="231"/>
      <c r="I5" s="231"/>
      <c r="J5" s="232"/>
    </row>
    <row r="6" spans="2:10" s="20" customFormat="1" ht="9.9" customHeight="1" x14ac:dyDescent="0.35">
      <c r="B6" s="228"/>
      <c r="C6" s="225"/>
      <c r="D6" s="230"/>
      <c r="E6" s="231"/>
      <c r="F6" s="231"/>
      <c r="G6" s="231"/>
      <c r="H6" s="231"/>
      <c r="I6" s="231"/>
      <c r="J6" s="232"/>
    </row>
    <row r="7" spans="2:10" s="20" customFormat="1" ht="9.9" customHeight="1" x14ac:dyDescent="0.35">
      <c r="B7" s="228"/>
      <c r="C7" s="225"/>
      <c r="D7" s="230"/>
      <c r="E7" s="231"/>
      <c r="F7" s="231"/>
      <c r="G7" s="231"/>
      <c r="H7" s="231"/>
      <c r="I7" s="231"/>
      <c r="J7" s="232"/>
    </row>
    <row r="8" spans="2:10" s="20" customFormat="1" ht="9.9" customHeight="1" x14ac:dyDescent="0.35">
      <c r="B8" s="228"/>
      <c r="C8" s="225"/>
      <c r="D8" s="230"/>
      <c r="E8" s="231"/>
      <c r="F8" s="231"/>
      <c r="G8" s="231"/>
      <c r="H8" s="231"/>
      <c r="I8" s="231"/>
      <c r="J8" s="232"/>
    </row>
    <row r="9" spans="2:10" s="20" customFormat="1" ht="9.9" customHeight="1" x14ac:dyDescent="0.35">
      <c r="B9" s="229"/>
      <c r="C9" s="226"/>
      <c r="D9" s="230"/>
      <c r="E9" s="231"/>
      <c r="F9" s="231"/>
      <c r="G9" s="231"/>
      <c r="H9" s="231"/>
      <c r="I9" s="231"/>
      <c r="J9" s="232"/>
    </row>
    <row r="10" spans="2:10" s="20" customFormat="1" ht="8.1" customHeight="1" x14ac:dyDescent="0.35">
      <c r="B10" s="166"/>
      <c r="C10" s="167"/>
      <c r="D10" s="167"/>
      <c r="E10" s="167"/>
      <c r="F10" s="167"/>
      <c r="G10" s="167"/>
      <c r="H10" s="167"/>
      <c r="I10" s="167"/>
      <c r="J10" s="168"/>
    </row>
    <row r="11" spans="2:10" s="45" customFormat="1" ht="42" customHeight="1" x14ac:dyDescent="0.35">
      <c r="B11" s="161" t="s">
        <v>18</v>
      </c>
      <c r="C11" s="161" t="s">
        <v>115</v>
      </c>
      <c r="D11" s="161" t="s">
        <v>116</v>
      </c>
      <c r="E11" s="161" t="s">
        <v>151</v>
      </c>
      <c r="F11" s="173" t="s">
        <v>152</v>
      </c>
      <c r="G11" s="173" t="s">
        <v>153</v>
      </c>
      <c r="H11" s="213" t="s">
        <v>149</v>
      </c>
      <c r="I11" s="213" t="s">
        <v>122</v>
      </c>
      <c r="J11" s="213" t="s">
        <v>119</v>
      </c>
    </row>
    <row r="12" spans="2:10" ht="23.85" customHeight="1" x14ac:dyDescent="0.35">
      <c r="B12" s="162"/>
      <c r="C12" s="162"/>
      <c r="D12" s="162"/>
      <c r="E12" s="162"/>
      <c r="F12" s="162"/>
      <c r="G12" s="162"/>
      <c r="H12" s="162"/>
      <c r="I12" s="162"/>
      <c r="J12" s="162"/>
    </row>
    <row r="13" spans="2:10" s="34" customFormat="1" hidden="1" x14ac:dyDescent="0.3">
      <c r="B13" s="19"/>
      <c r="C13" s="42" t="str">
        <f>IFERROR(IF(VLOOKUP(B13,PartnerN°Ref,2,FALSE)=0,"",VLOOKUP(B13,PartnerN°Ref,2,FALSE)),"")</f>
        <v/>
      </c>
      <c r="D13" s="42" t="str">
        <f>IFERROR(IF(OR(VLOOKUP(B13,PartnerN°Ref,4,FALSE)="Country not found",VLOOKUP(B13,PartnerN°Ref,3,FALSE)=0),"",VLOOKUP(B13,PartnerN°Ref,3,FALSE)),"")</f>
        <v/>
      </c>
      <c r="E13" s="18"/>
      <c r="F13" s="18"/>
      <c r="G13" s="18"/>
      <c r="H13" s="35">
        <v>0</v>
      </c>
      <c r="I13" s="36">
        <f>IF(J13="Error",0,ROUND(H13,2))</f>
        <v>0</v>
      </c>
      <c r="J13" s="33" t="str">
        <f>IF(OR(COUNTIF(PartnerN°,B13)=0,C13="",COUNTIF(CountryALL,D13)=0,E13="",F13="",G13="",ISNUMBER(H13)=FALSE,IF(ISNUMBER(H13)=TRUE,H13=INT(H13*100)/100=FALSE)),"Error","")</f>
        <v>Error</v>
      </c>
    </row>
    <row r="14" spans="2:10" s="34" customFormat="1" ht="36" x14ac:dyDescent="0.3">
      <c r="B14" s="19" t="s">
        <v>54</v>
      </c>
      <c r="C14" s="42" t="str">
        <f>IFERROR(IF(VLOOKUP(B14,PartnerN°Ref,2,FALSE)=0,"",VLOOKUP(B14,PartnerN°Ref,2,FALSE)),"")</f>
        <v>BES</v>
      </c>
      <c r="D14" s="42" t="str">
        <f>IFERROR(IF(OR(VLOOKUP(B14,PartnerN°Ref,4,FALSE)="Country not found",VLOOKUP(B14,PartnerN°Ref,3,FALSE)=0),"",VLOOKUP(B14,PartnerN°Ref,3,FALSE)),"")</f>
        <v>Bulgaria</v>
      </c>
      <c r="E14" s="125" t="s">
        <v>413</v>
      </c>
      <c r="F14" s="18" t="s">
        <v>414</v>
      </c>
      <c r="G14" s="126" t="s">
        <v>420</v>
      </c>
      <c r="H14" s="35">
        <v>37800</v>
      </c>
      <c r="I14" s="36">
        <f>IF(J14="Error",0,ROUND(H14,2))</f>
        <v>37800</v>
      </c>
      <c r="J14" s="33" t="str">
        <f>IF(OR(COUNTIF(PartnerN°,B14)=0,C14="",COUNTIF(CountryALL,D14)=0,E14="",F14="",G14="",ISNUMBER(H14)=FALSE,IF(ISNUMBER(H14)=TRUE,H14=INT(H14*100)/100=FALSE)),"Error","")</f>
        <v/>
      </c>
    </row>
    <row r="15" spans="2:10" s="129" customFormat="1" ht="36" x14ac:dyDescent="0.3">
      <c r="B15" s="127" t="s">
        <v>33</v>
      </c>
      <c r="C15" s="132" t="str">
        <f>IFERROR(IF(VLOOKUP(B15,PartnerN°Ref,2,FALSE)=0,"",VLOOKUP(B15,PartnerN°Ref,2,FALSE)),"")</f>
        <v xml:space="preserve">TURMEPA </v>
      </c>
      <c r="D15" s="132" t="str">
        <f>IFERROR(IF(OR(VLOOKUP(B15,PartnerN°Ref,4,FALSE)="Country not found",VLOOKUP(B15,PartnerN°Ref,3,FALSE)=0),"",VLOOKUP(B15,PartnerN°Ref,3,FALSE)),"")</f>
        <v>Turkey</v>
      </c>
      <c r="E15" s="133" t="s">
        <v>417</v>
      </c>
      <c r="F15" s="126" t="s">
        <v>418</v>
      </c>
      <c r="G15" s="133" t="s">
        <v>415</v>
      </c>
      <c r="H15" s="130">
        <v>37500</v>
      </c>
      <c r="I15" s="131">
        <f>IF(J15="Error",0,ROUND(H15,2))</f>
        <v>37500</v>
      </c>
      <c r="J15" s="128" t="str">
        <f>IF(OR(COUNTIF(PartnerN°,B15)=0,C15="",COUNTIF(CountryALL,D15)=0,E15="",F15="",G15="",ISNUMBER(H15)=FALSE,IF(ISNUMBER(H15)=TRUE,H15=INT(H15*100)/100=FALSE)),"Error","")</f>
        <v/>
      </c>
    </row>
    <row r="16" spans="2:10" s="129" customFormat="1" x14ac:dyDescent="0.3">
      <c r="B16" s="127" t="s">
        <v>41</v>
      </c>
      <c r="C16" s="132" t="str">
        <f>IFERROR(IF(VLOOKUP(B16,PartnerN°Ref,2,FALSE)=0,"",VLOOKUP(B16,PartnerN°Ref,2,FALSE)),"")</f>
        <v xml:space="preserve">Udruga Eko </v>
      </c>
      <c r="D16" s="132" t="str">
        <f>IFERROR(IF(OR(VLOOKUP(B16,PartnerN°Ref,4,FALSE)="Country not found",VLOOKUP(B16,PartnerN°Ref,3,FALSE)=0),"",VLOOKUP(B16,PartnerN°Ref,3,FALSE)),"")</f>
        <v>Croatia</v>
      </c>
      <c r="E16" s="133" t="s">
        <v>417</v>
      </c>
      <c r="F16" s="126" t="s">
        <v>419</v>
      </c>
      <c r="G16" s="133" t="s">
        <v>416</v>
      </c>
      <c r="H16" s="130">
        <v>25000</v>
      </c>
      <c r="I16" s="131">
        <f>IF(J16="Error",0,ROUND(H16,2))</f>
        <v>25000</v>
      </c>
      <c r="J16" s="128" t="str">
        <f>IF(OR(COUNTIF(PartnerN°,B16)=0,C16="",COUNTIF(CountryALL,D16)=0,E16="",F16="",G16="",ISNUMBER(H16)=FALSE,IF(ISNUMBER(H16)=TRUE,H16=INT(H16*100)/100=FALSE)),"Error","")</f>
        <v/>
      </c>
    </row>
    <row r="17" spans="2:10" s="136" customFormat="1" ht="54" x14ac:dyDescent="0.3">
      <c r="B17" s="134" t="s">
        <v>51</v>
      </c>
      <c r="C17" s="139" t="str">
        <f>IFERROR(IF(VLOOKUP(B17,PartnerN°Ref,2,FALSE)=0,"",VLOOKUP(B17,PartnerN°Ref,2,FALSE)),"")</f>
        <v xml:space="preserve">BUND </v>
      </c>
      <c r="D17" s="139" t="str">
        <f>IFERROR(IF(OR(VLOOKUP(B17,PartnerN°Ref,4,FALSE)="Country not found",VLOOKUP(B17,PartnerN°Ref,3,FALSE)=0),"",VLOOKUP(B17,PartnerN°Ref,3,FALSE)),"")</f>
        <v>Germany</v>
      </c>
      <c r="E17" s="133" t="s">
        <v>421</v>
      </c>
      <c r="F17" s="133" t="s">
        <v>423</v>
      </c>
      <c r="G17" s="133" t="s">
        <v>422</v>
      </c>
      <c r="H17" s="137">
        <v>60000</v>
      </c>
      <c r="I17" s="138">
        <f>IF(J17="Error",0,ROUND(H17,2))</f>
        <v>60000</v>
      </c>
      <c r="J17" s="135" t="str">
        <f>IF(OR(COUNTIF(PartnerN°,B17)=0,C17="",COUNTIF(CountryALL,D17)=0,E17="",F17="",G17="",ISNUMBER(H17)=FALSE,IF(ISNUMBER(H17)=TRUE,H17=INT(H17*100)/100=FALSE)),"Error","")</f>
        <v/>
      </c>
    </row>
    <row r="19" spans="2:10" x14ac:dyDescent="0.35">
      <c r="B19" s="39" t="s">
        <v>154</v>
      </c>
    </row>
    <row r="20" spans="2:10" x14ac:dyDescent="0.35">
      <c r="B20" s="39" t="s">
        <v>155</v>
      </c>
    </row>
    <row r="21" spans="2:10" x14ac:dyDescent="0.35">
      <c r="B21" s="39" t="s">
        <v>156</v>
      </c>
    </row>
  </sheetData>
  <sheetProtection password="AD90" sheet="1" objects="1" scenarios="1" selectLockedCells="1"/>
  <dataConsolidate/>
  <mergeCells count="16">
    <mergeCell ref="B1:J1"/>
    <mergeCell ref="B3:J3"/>
    <mergeCell ref="B10:J10"/>
    <mergeCell ref="J11:J12"/>
    <mergeCell ref="B2:J2"/>
    <mergeCell ref="I11:I12"/>
    <mergeCell ref="F11:F12"/>
    <mergeCell ref="C4:C9"/>
    <mergeCell ref="B4:B9"/>
    <mergeCell ref="B11:B12"/>
    <mergeCell ref="C11:C12"/>
    <mergeCell ref="D11:D12"/>
    <mergeCell ref="G11:G12"/>
    <mergeCell ref="H11:H12"/>
    <mergeCell ref="E11:E12"/>
    <mergeCell ref="D4:J9"/>
  </mergeCells>
  <conditionalFormatting sqref="J13:J14">
    <cfRule type="containsText" dxfId="38" priority="159" operator="containsText" text="Error">
      <formula>NOT(ISERROR(SEARCH("Error",J13)))</formula>
    </cfRule>
  </conditionalFormatting>
  <conditionalFormatting sqref="C13:D14">
    <cfRule type="containsBlanks" dxfId="37" priority="152">
      <formula>LEN(TRIM(C13))=0</formula>
    </cfRule>
  </conditionalFormatting>
  <conditionalFormatting sqref="H13">
    <cfRule type="cellIs" dxfId="36" priority="23" operator="lessThanOrEqual">
      <formula>0</formula>
    </cfRule>
  </conditionalFormatting>
  <conditionalFormatting sqref="E13:H13">
    <cfRule type="containsBlanks" dxfId="35" priority="20">
      <formula>LEN(TRIM(E13))=0</formula>
    </cfRule>
  </conditionalFormatting>
  <conditionalFormatting sqref="H14">
    <cfRule type="cellIs" dxfId="34" priority="19" operator="lessThanOrEqual">
      <formula>0</formula>
    </cfRule>
  </conditionalFormatting>
  <conditionalFormatting sqref="E14:H14">
    <cfRule type="containsBlanks" dxfId="33" priority="18">
      <formula>LEN(TRIM(E14))=0</formula>
    </cfRule>
  </conditionalFormatting>
  <conditionalFormatting sqref="B13">
    <cfRule type="containsBlanks" dxfId="32" priority="17">
      <formula>LEN(TRIM(B13))=0</formula>
    </cfRule>
  </conditionalFormatting>
  <conditionalFormatting sqref="B14">
    <cfRule type="containsBlanks" dxfId="31" priority="16">
      <formula>LEN(TRIM(B14))=0</formula>
    </cfRule>
  </conditionalFormatting>
  <conditionalFormatting sqref="J15">
    <cfRule type="containsText" dxfId="30" priority="15" operator="containsText" text="Error">
      <formula>NOT(ISERROR(SEARCH("Error",J15)))</formula>
    </cfRule>
  </conditionalFormatting>
  <conditionalFormatting sqref="C15:D15">
    <cfRule type="containsBlanks" dxfId="29" priority="14">
      <formula>LEN(TRIM(C15))=0</formula>
    </cfRule>
  </conditionalFormatting>
  <conditionalFormatting sqref="H15">
    <cfRule type="cellIs" dxfId="28" priority="13" operator="lessThanOrEqual">
      <formula>0</formula>
    </cfRule>
  </conditionalFormatting>
  <conditionalFormatting sqref="E15:H15">
    <cfRule type="containsBlanks" dxfId="27" priority="12">
      <formula>LEN(TRIM(E15))=0</formula>
    </cfRule>
  </conditionalFormatting>
  <conditionalFormatting sqref="B15">
    <cfRule type="containsBlanks" dxfId="26" priority="11">
      <formula>LEN(TRIM(B15))=0</formula>
    </cfRule>
  </conditionalFormatting>
  <conditionalFormatting sqref="J16">
    <cfRule type="containsText" dxfId="25" priority="10" operator="containsText" text="Error">
      <formula>NOT(ISERROR(SEARCH("Error",J16)))</formula>
    </cfRule>
  </conditionalFormatting>
  <conditionalFormatting sqref="C16:D16">
    <cfRule type="containsBlanks" dxfId="24" priority="9">
      <formula>LEN(TRIM(C16))=0</formula>
    </cfRule>
  </conditionalFormatting>
  <conditionalFormatting sqref="H16">
    <cfRule type="cellIs" dxfId="23" priority="8" operator="lessThanOrEqual">
      <formula>0</formula>
    </cfRule>
  </conditionalFormatting>
  <conditionalFormatting sqref="E16:H16">
    <cfRule type="containsBlanks" dxfId="22" priority="7">
      <formula>LEN(TRIM(E16))=0</formula>
    </cfRule>
  </conditionalFormatting>
  <conditionalFormatting sqref="B16">
    <cfRule type="containsBlanks" dxfId="21" priority="6">
      <formula>LEN(TRIM(B16))=0</formula>
    </cfRule>
  </conditionalFormatting>
  <conditionalFormatting sqref="J17">
    <cfRule type="containsText" dxfId="20" priority="5" operator="containsText" text="Error">
      <formula>NOT(ISERROR(SEARCH("Error",J17)))</formula>
    </cfRule>
  </conditionalFormatting>
  <conditionalFormatting sqref="C17:D17">
    <cfRule type="containsBlanks" dxfId="19" priority="4">
      <formula>LEN(TRIM(C17))=0</formula>
    </cfRule>
  </conditionalFormatting>
  <conditionalFormatting sqref="H17">
    <cfRule type="cellIs" dxfId="18" priority="3" operator="lessThanOrEqual">
      <formula>0</formula>
    </cfRule>
  </conditionalFormatting>
  <conditionalFormatting sqref="E17:H17">
    <cfRule type="containsBlanks" dxfId="17" priority="2">
      <formula>LEN(TRIM(E17))=0</formula>
    </cfRule>
  </conditionalFormatting>
  <conditionalFormatting sqref="B17">
    <cfRule type="containsBlanks" dxfId="16" priority="1">
      <formula>LEN(TRIM(B17))=0</formula>
    </cfRule>
  </conditionalFormatting>
  <dataValidations count="5">
    <dataValidation allowBlank="1" showInputMessage="1" showErrorMessage="1" error="Please encode Item" prompt="Please encode Item" sqref="E13:E17"/>
    <dataValidation type="custom" allowBlank="1" showInputMessage="1" showErrorMessage="1" error="Format error (2 decimals only)" prompt="Please encode amount (2 decimals only)" sqref="H13:H17">
      <formula1>H13=INT(H13*100)/100</formula1>
    </dataValidation>
    <dataValidation allowBlank="1" showInputMessage="1" showErrorMessage="1" error="Please encode Justification" prompt="Please encode Justification" sqref="G13:G17"/>
    <dataValidation allowBlank="1" showInputMessage="1" showErrorMessage="1" error="Please encode Source of Co-financing" prompt="Please encode Source of Co-financing" sqref="F13:F17"/>
    <dataValidation type="list" allowBlank="1" showInputMessage="1" showErrorMessage="1" error="Click arrow to select Partner n°" prompt="Click arrow to select Partner n°" sqref="B13:B17">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6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5866" r:id="rId5" name="Button 2">
              <controlPr defaultSize="0" print="0" autoFill="0" autoPict="0" macro="[0]!DeleteRow">
                <anchor moveWithCells="1" sizeWithCells="1">
                  <from>
                    <xdr:col>2</xdr:col>
                    <xdr:colOff>30480</xdr:colOff>
                    <xdr:row>1</xdr:row>
                    <xdr:rowOff>83820</xdr:rowOff>
                  </from>
                  <to>
                    <xdr:col>2</xdr:col>
                    <xdr:colOff>1821180</xdr:colOff>
                    <xdr:row>1</xdr:row>
                    <xdr:rowOff>449580</xdr:rowOff>
                  </to>
                </anchor>
              </controlPr>
            </control>
          </mc:Choice>
        </mc:AlternateContent>
        <mc:AlternateContent xmlns:mc="http://schemas.openxmlformats.org/markup-compatibility/2006">
          <mc:Choice Requires="x14">
            <control shapeId="35867" r:id="rId6" name="Button 27">
              <controlPr defaultSize="0" print="0" autoFill="0" autoPict="0" macro="[0]!DuplicateRow">
                <anchor moveWithCells="1" sizeWithCells="1">
                  <from>
                    <xdr:col>2</xdr:col>
                    <xdr:colOff>1889760</xdr:colOff>
                    <xdr:row>1</xdr:row>
                    <xdr:rowOff>83820</xdr:rowOff>
                  </from>
                  <to>
                    <xdr:col>3</xdr:col>
                    <xdr:colOff>304800</xdr:colOff>
                    <xdr:row>1</xdr:row>
                    <xdr:rowOff>449580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6" tint="-0.249977111117893"/>
    <pageSetUpPr fitToPage="1"/>
  </sheetPr>
  <dimension ref="B1:I77"/>
  <sheetViews>
    <sheetView showGridLines="0" zoomScale="85" zoomScaleNormal="85" zoomScaleSheetLayoutView="85" workbookViewId="0">
      <selection activeCell="B12" sqref="B12:I12"/>
    </sheetView>
  </sheetViews>
  <sheetFormatPr defaultColWidth="9.109375" defaultRowHeight="18" x14ac:dyDescent="0.35"/>
  <cols>
    <col min="1" max="1" width="1.6640625" style="1" customWidth="1"/>
    <col min="2" max="2" width="33" style="1" bestFit="1" customWidth="1"/>
    <col min="3" max="9" width="22.6640625" style="1" customWidth="1"/>
    <col min="10" max="10" width="1.44140625" style="1" customWidth="1"/>
    <col min="11" max="16384" width="9.109375" style="1"/>
  </cols>
  <sheetData>
    <row r="1" spans="2:9" ht="8.1" customHeight="1" x14ac:dyDescent="0.35">
      <c r="B1" s="212"/>
      <c r="C1" s="212"/>
      <c r="D1" s="212"/>
      <c r="E1" s="212"/>
      <c r="F1" s="212"/>
      <c r="G1" s="212"/>
      <c r="H1" s="212"/>
      <c r="I1" s="212"/>
    </row>
    <row r="2" spans="2:9" s="20" customFormat="1" ht="30" customHeight="1" x14ac:dyDescent="0.35">
      <c r="B2" s="172" t="s">
        <v>157</v>
      </c>
      <c r="C2" s="172"/>
      <c r="D2" s="172"/>
      <c r="E2" s="172"/>
      <c r="F2" s="172"/>
      <c r="G2" s="172"/>
      <c r="H2" s="172"/>
      <c r="I2" s="172"/>
    </row>
    <row r="3" spans="2:9" s="20" customFormat="1" ht="8.1" customHeight="1" x14ac:dyDescent="0.35">
      <c r="B3" s="240"/>
      <c r="C3" s="240"/>
      <c r="D3" s="240"/>
      <c r="E3" s="240"/>
      <c r="F3" s="240"/>
      <c r="G3" s="240"/>
      <c r="H3" s="240"/>
      <c r="I3" s="240"/>
    </row>
    <row r="4" spans="2:9" s="45" customFormat="1" ht="42" customHeight="1" x14ac:dyDescent="0.35">
      <c r="B4" s="44" t="s">
        <v>114</v>
      </c>
      <c r="C4" s="12" t="s">
        <v>22</v>
      </c>
      <c r="D4" s="12" t="s">
        <v>23</v>
      </c>
      <c r="E4" s="12" t="s">
        <v>158</v>
      </c>
      <c r="F4" s="12" t="s">
        <v>159</v>
      </c>
      <c r="G4" s="12" t="s">
        <v>160</v>
      </c>
      <c r="H4" s="12" t="s">
        <v>15</v>
      </c>
      <c r="I4" s="12" t="s">
        <v>122</v>
      </c>
    </row>
    <row r="5" spans="2:9" x14ac:dyDescent="0.35">
      <c r="B5" s="76" t="str">
        <f>'Unit Costs &amp; Funding Rule'!P10</f>
        <v>Preparation</v>
      </c>
      <c r="C5" s="21">
        <f>SUMIF('1. Staff costs'!B:B,B5,'1. Staff costs'!S:S)</f>
        <v>12621</v>
      </c>
      <c r="D5" s="21">
        <f>SUMIF(' 2-3-6. Travel&amp;Costs of Stay'!B:B,B5,' 2-3-6. Travel&amp;Costs of Stay'!O:O)</f>
        <v>0</v>
      </c>
      <c r="E5" s="22">
        <f>SUMIF(' 2-3-6. Travel&amp;Costs of Stay'!B:B,B5,' 2-3-6. Travel&amp;Costs of Stay'!P:P)</f>
        <v>0</v>
      </c>
      <c r="F5" s="22">
        <f>SUMIF('4. Equipment Costs'!B:B,B5,'4. Equipment Costs'!H:H)</f>
        <v>140000</v>
      </c>
      <c r="G5" s="22">
        <f>SUMIF('5. Subcontracting Costs'!B:B,B5,'5. Subcontracting Costs'!H:H)</f>
        <v>0</v>
      </c>
      <c r="H5" s="22">
        <f>SUMIF(' 2-3-6. Travel&amp;Costs of Stay'!B:B,B5,' 2-3-6. Travel&amp;Costs of Stay'!N:N)</f>
        <v>0</v>
      </c>
      <c r="I5" s="23">
        <f t="shared" ref="I5:I10" si="0">SUM(C5:H5)</f>
        <v>152621</v>
      </c>
    </row>
    <row r="6" spans="2:9" ht="16.5" customHeight="1" x14ac:dyDescent="0.35">
      <c r="B6" s="76" t="str">
        <f>'Unit Costs &amp; Funding Rule'!P11</f>
        <v>Development</v>
      </c>
      <c r="C6" s="21">
        <f>SUMIF('1. Staff costs'!B:B,B6,'1. Staff costs'!S:S)</f>
        <v>93665</v>
      </c>
      <c r="D6" s="21">
        <f>SUMIF(' 2-3-6. Travel&amp;Costs of Stay'!B:B,B6,' 2-3-6. Travel&amp;Costs of Stay'!O:O)</f>
        <v>0</v>
      </c>
      <c r="E6" s="22">
        <f>SUMIF(' 2-3-6. Travel&amp;Costs of Stay'!B:B,B6,' 2-3-6. Travel&amp;Costs of Stay'!P:P)</f>
        <v>113960</v>
      </c>
      <c r="F6" s="22">
        <f>SUMIF('4. Equipment Costs'!B:B,B6,'4. Equipment Costs'!H:H)</f>
        <v>70000</v>
      </c>
      <c r="G6" s="22">
        <f>SUMIF('5. Subcontracting Costs'!B:B,B6,'5. Subcontracting Costs'!H:H)</f>
        <v>0</v>
      </c>
      <c r="H6" s="22">
        <f>SUMIF(' 2-3-6. Travel&amp;Costs of Stay'!B:B,B6,' 2-3-6. Travel&amp;Costs of Stay'!N:N)</f>
        <v>90400</v>
      </c>
      <c r="I6" s="23">
        <f t="shared" si="0"/>
        <v>368025</v>
      </c>
    </row>
    <row r="7" spans="2:9" ht="16.5" customHeight="1" x14ac:dyDescent="0.35">
      <c r="B7" s="76" t="str">
        <f>'Unit Costs &amp; Funding Rule'!P12</f>
        <v>Quality Plan</v>
      </c>
      <c r="C7" s="21">
        <f>SUMIF('1. Staff costs'!B:B,B7,'1. Staff costs'!S:S)</f>
        <v>104540</v>
      </c>
      <c r="D7" s="21">
        <f>SUMIF(' 2-3-6. Travel&amp;Costs of Stay'!B:B,B7,' 2-3-6. Travel&amp;Costs of Stay'!O:O)</f>
        <v>4125</v>
      </c>
      <c r="E7" s="22">
        <f>SUMIF(' 2-3-6. Travel&amp;Costs of Stay'!B:B,B7,' 2-3-6. Travel&amp;Costs of Stay'!P:P)</f>
        <v>52500</v>
      </c>
      <c r="F7" s="22">
        <f>SUMIF('4. Equipment Costs'!B:B,B7,'4. Equipment Costs'!H:H)</f>
        <v>0</v>
      </c>
      <c r="G7" s="22">
        <f>SUMIF('5. Subcontracting Costs'!B:B,B7,'5. Subcontracting Costs'!H:H)</f>
        <v>0</v>
      </c>
      <c r="H7" s="22">
        <f>SUMIF(' 2-3-6. Travel&amp;Costs of Stay'!B:B,B7,' 2-3-6. Travel&amp;Costs of Stay'!N:N)</f>
        <v>0</v>
      </c>
      <c r="I7" s="23">
        <f t="shared" si="0"/>
        <v>161165</v>
      </c>
    </row>
    <row r="8" spans="2:9" ht="16.5" customHeight="1" x14ac:dyDescent="0.35">
      <c r="B8" s="76" t="str">
        <f>'Unit Costs &amp; Funding Rule'!P13</f>
        <v>Dissemination &amp; Exploitation</v>
      </c>
      <c r="C8" s="21">
        <f>SUMIF('1. Staff costs'!B:B,B8,'1. Staff costs'!S:S)</f>
        <v>6650</v>
      </c>
      <c r="D8" s="21">
        <f>SUMIF(' 2-3-6. Travel&amp;Costs of Stay'!B:B,B8,' 2-3-6. Travel&amp;Costs of Stay'!O:O)</f>
        <v>0</v>
      </c>
      <c r="E8" s="22">
        <f>SUMIF(' 2-3-6. Travel&amp;Costs of Stay'!B:B,B8,' 2-3-6. Travel&amp;Costs of Stay'!P:P)</f>
        <v>0</v>
      </c>
      <c r="F8" s="22">
        <f>SUMIF('4. Equipment Costs'!B:B,B8,'4. Equipment Costs'!H:H)</f>
        <v>0</v>
      </c>
      <c r="G8" s="22">
        <f>SUMIF('5. Subcontracting Costs'!B:B,B8,'5. Subcontracting Costs'!H:H)</f>
        <v>40000</v>
      </c>
      <c r="H8" s="22">
        <f>SUMIF(' 2-3-6. Travel&amp;Costs of Stay'!B:B,B8,' 2-3-6. Travel&amp;Costs of Stay'!N:N)</f>
        <v>0</v>
      </c>
      <c r="I8" s="23">
        <f t="shared" si="0"/>
        <v>46650</v>
      </c>
    </row>
    <row r="9" spans="2:9" ht="16.5" customHeight="1" x14ac:dyDescent="0.35">
      <c r="B9" s="76" t="str">
        <f>'Unit Costs &amp; Funding Rule'!P14</f>
        <v>Management</v>
      </c>
      <c r="C9" s="21">
        <f>SUMIF('1. Staff costs'!B:B,B9,'1. Staff costs'!S:S)</f>
        <v>24560</v>
      </c>
      <c r="D9" s="21">
        <f>SUMIF(' 2-3-6. Travel&amp;Costs of Stay'!B:B,B9,' 2-3-6. Travel&amp;Costs of Stay'!O:O)</f>
        <v>4125</v>
      </c>
      <c r="E9" s="22">
        <f>SUMIF(' 2-3-6. Travel&amp;Costs of Stay'!B:B,B9,' 2-3-6. Travel&amp;Costs of Stay'!P:P)</f>
        <v>52500</v>
      </c>
      <c r="F9" s="22">
        <f>SUMIF('4. Equipment Costs'!B:B,B9,'4. Equipment Costs'!H:H)</f>
        <v>0</v>
      </c>
      <c r="G9" s="22">
        <f>SUMIF('5. Subcontracting Costs'!B:B,B9,'5. Subcontracting Costs'!H:H)</f>
        <v>20000</v>
      </c>
      <c r="H9" s="22">
        <f>SUMIF(' 2-3-6. Travel&amp;Costs of Stay'!B:B,B9,' 2-3-6. Travel&amp;Costs of Stay'!N:N)</f>
        <v>0</v>
      </c>
      <c r="I9" s="23">
        <f t="shared" si="0"/>
        <v>101185</v>
      </c>
    </row>
    <row r="10" spans="2:9" x14ac:dyDescent="0.35">
      <c r="B10" s="43" t="s">
        <v>161</v>
      </c>
      <c r="C10" s="23">
        <f t="shared" ref="C10:F10" si="1">SUM(C5:C9)</f>
        <v>242036</v>
      </c>
      <c r="D10" s="23">
        <f t="shared" si="1"/>
        <v>8250</v>
      </c>
      <c r="E10" s="23">
        <f t="shared" si="1"/>
        <v>218960</v>
      </c>
      <c r="F10" s="23">
        <f t="shared" si="1"/>
        <v>210000</v>
      </c>
      <c r="G10" s="23">
        <f>SUM(G5:G9)</f>
        <v>60000</v>
      </c>
      <c r="H10" s="23">
        <f>SUM(H5:H9)</f>
        <v>90400</v>
      </c>
      <c r="I10" s="17">
        <f t="shared" si="0"/>
        <v>829646</v>
      </c>
    </row>
    <row r="11" spans="2:9" ht="20.100000000000001" customHeight="1" x14ac:dyDescent="0.35">
      <c r="B11" s="239"/>
      <c r="C11" s="239"/>
      <c r="D11" s="239"/>
      <c r="E11" s="239"/>
      <c r="F11" s="239"/>
      <c r="G11" s="239"/>
      <c r="H11" s="239"/>
      <c r="I11" s="239"/>
    </row>
    <row r="12" spans="2:9" ht="30" customHeight="1" x14ac:dyDescent="0.35">
      <c r="B12" s="172" t="s">
        <v>162</v>
      </c>
      <c r="C12" s="172"/>
      <c r="D12" s="172"/>
      <c r="E12" s="172"/>
      <c r="F12" s="172"/>
      <c r="G12" s="172"/>
      <c r="H12" s="172"/>
      <c r="I12" s="172"/>
    </row>
    <row r="13" spans="2:9" ht="8.1" customHeight="1" x14ac:dyDescent="0.35">
      <c r="B13" s="237"/>
      <c r="C13" s="237"/>
      <c r="D13" s="237"/>
      <c r="E13" s="237"/>
      <c r="F13" s="237"/>
      <c r="G13" s="237"/>
      <c r="H13" s="237"/>
      <c r="I13" s="237"/>
    </row>
    <row r="14" spans="2:9" ht="36" x14ac:dyDescent="0.35">
      <c r="B14" s="44" t="s">
        <v>163</v>
      </c>
      <c r="C14" s="12" t="s">
        <v>22</v>
      </c>
      <c r="D14" s="12" t="s">
        <v>23</v>
      </c>
      <c r="E14" s="12" t="s">
        <v>158</v>
      </c>
      <c r="F14" s="12" t="s">
        <v>159</v>
      </c>
      <c r="G14" s="12" t="s">
        <v>160</v>
      </c>
      <c r="H14" s="12" t="s">
        <v>15</v>
      </c>
      <c r="I14" s="12" t="s">
        <v>122</v>
      </c>
    </row>
    <row r="15" spans="2:9" x14ac:dyDescent="0.35">
      <c r="B15" s="76" t="s">
        <v>164</v>
      </c>
      <c r="C15" s="21">
        <f>SUMIF(Overview!$E$27:$E$81,B15,Overview!$F$27:$F$81)</f>
        <v>228632</v>
      </c>
      <c r="D15" s="21">
        <f>SUMIF(Overview!$E$27:$E$81,B15,Overview!$G$27:$G$81)</f>
        <v>8250</v>
      </c>
      <c r="E15" s="21">
        <f>SUMIF(Overview!$E$27:$E$81,B15,Overview!$H$27:$H$81)</f>
        <v>196360</v>
      </c>
      <c r="F15" s="21">
        <f>SUMIF(Overview!$E$27:$E$81,B15,Overview!$I$27:$I$81)</f>
        <v>0</v>
      </c>
      <c r="G15" s="21">
        <f>SUMIF(Overview!$E$27:$E$81,B15,Overview!$J$27:$J$81)</f>
        <v>60000</v>
      </c>
      <c r="H15" s="21">
        <f>SUMIF(Overview!$E$27:$E$81,B15,Overview!$K$27:$K$81)</f>
        <v>72800</v>
      </c>
      <c r="I15" s="23">
        <f>SUM(C15:H15)</f>
        <v>566042</v>
      </c>
    </row>
    <row r="16" spans="2:9" x14ac:dyDescent="0.35">
      <c r="B16" s="76" t="s">
        <v>165</v>
      </c>
      <c r="C16" s="21">
        <f>SUMIF(Overview!$E$27:$E$81,B16,Overview!$F$27:$F$81)</f>
        <v>13404</v>
      </c>
      <c r="D16" s="21">
        <f>SUMIF(Overview!$E$27:$E$81,B16,Overview!$G$27:$G$81)</f>
        <v>0</v>
      </c>
      <c r="E16" s="21">
        <f>SUMIF(Overview!$E$27:$E$81,B16,Overview!$H$27:$H$81)</f>
        <v>22600</v>
      </c>
      <c r="F16" s="21">
        <f>SUMIF(Overview!$E$27:$E$81,B16,Overview!$I$27:$I$81)</f>
        <v>210000</v>
      </c>
      <c r="G16" s="21">
        <f>SUMIF(Overview!$E$27:$E$81,B16,Overview!$J$27:$J$81)</f>
        <v>0</v>
      </c>
      <c r="H16" s="21">
        <f>SUMIF(Overview!$E$27:$E$81,B16,Overview!$K$27:$K$81)</f>
        <v>17600</v>
      </c>
      <c r="I16" s="23">
        <f>SUM(C16:H16)</f>
        <v>263604</v>
      </c>
    </row>
    <row r="17" spans="2:9" x14ac:dyDescent="0.35">
      <c r="B17" s="43" t="s">
        <v>161</v>
      </c>
      <c r="C17" s="23">
        <f t="shared" ref="C17:F17" si="2">SUM(C15:C16)</f>
        <v>242036</v>
      </c>
      <c r="D17" s="23">
        <f t="shared" si="2"/>
        <v>8250</v>
      </c>
      <c r="E17" s="23">
        <f t="shared" si="2"/>
        <v>218960</v>
      </c>
      <c r="F17" s="23">
        <f t="shared" si="2"/>
        <v>210000</v>
      </c>
      <c r="G17" s="23">
        <f>SUM(G15:G16)</f>
        <v>60000</v>
      </c>
      <c r="H17" s="23">
        <f>SUM(H15:H16)</f>
        <v>90400</v>
      </c>
      <c r="I17" s="17">
        <f>SUM(C17:H17)</f>
        <v>829646</v>
      </c>
    </row>
    <row r="18" spans="2:9" ht="20.100000000000001" customHeight="1" x14ac:dyDescent="0.35">
      <c r="B18" s="238"/>
      <c r="C18" s="238"/>
      <c r="D18" s="238"/>
      <c r="E18" s="238"/>
      <c r="F18" s="238"/>
      <c r="G18" s="238"/>
      <c r="H18" s="238"/>
      <c r="I18" s="238"/>
    </row>
    <row r="19" spans="2:9" ht="30" customHeight="1" x14ac:dyDescent="0.35">
      <c r="B19" s="172" t="s">
        <v>166</v>
      </c>
      <c r="C19" s="172"/>
      <c r="D19" s="172"/>
      <c r="E19" s="172"/>
      <c r="F19" s="172"/>
      <c r="G19" s="172"/>
      <c r="H19" s="172"/>
      <c r="I19" s="172"/>
    </row>
    <row r="20" spans="2:9" ht="8.1" customHeight="1" x14ac:dyDescent="0.35">
      <c r="B20" s="237"/>
      <c r="C20" s="237"/>
      <c r="D20" s="237"/>
      <c r="E20" s="237"/>
      <c r="F20" s="237"/>
      <c r="G20" s="237"/>
      <c r="H20" s="237"/>
      <c r="I20" s="237"/>
    </row>
    <row r="21" spans="2:9" ht="54" customHeight="1" x14ac:dyDescent="0.35">
      <c r="B21" s="47" t="s">
        <v>167</v>
      </c>
      <c r="C21" s="44" t="str">
        <f>'Unit Costs &amp; Funding Rule'!P10</f>
        <v>Preparation</v>
      </c>
      <c r="D21" s="44" t="str">
        <f>'Unit Costs &amp; Funding Rule'!P11</f>
        <v>Development</v>
      </c>
      <c r="E21" s="44" t="str">
        <f>'Unit Costs &amp; Funding Rule'!P12</f>
        <v>Quality Plan</v>
      </c>
      <c r="F21" s="46" t="str">
        <f>'Unit Costs &amp; Funding Rule'!P13</f>
        <v>Dissemination &amp; Exploitation</v>
      </c>
      <c r="G21" s="44" t="str">
        <f>'Unit Costs &amp; Funding Rule'!P14</f>
        <v>Management</v>
      </c>
      <c r="H21" s="235" t="s">
        <v>122</v>
      </c>
      <c r="I21" s="236"/>
    </row>
    <row r="22" spans="2:9" x14ac:dyDescent="0.35">
      <c r="B22" s="48" t="s">
        <v>28</v>
      </c>
      <c r="C22" s="22">
        <f>SUMIFS('1. Staff costs'!S:S,'1. Staff costs'!C:C,B22,'1. Staff costs'!B:B,$C$21)+SUMIFS(' 2-3-6. Travel&amp;Costs of Stay'!O:O,' 2-3-6. Travel&amp;Costs of Stay'!C:C,B22,' 2-3-6. Travel&amp;Costs of Stay'!B:B,$C$21)+SUMIFS(' 2-3-6. Travel&amp;Costs of Stay'!P:P,' 2-3-6. Travel&amp;Costs of Stay'!C:C,B22,' 2-3-6. Travel&amp;Costs of Stay'!B:B,$C$21)+SUMIFS('4. Equipment Costs'!H:H,'4. Equipment Costs'!C:C,B22,'4. Equipment Costs'!B:B,$C$21)+SUMIFS('5. Subcontracting Costs'!H:H,'5. Subcontracting Costs'!C:C,B22,'5. Subcontracting Costs'!B:B,$C$21)+SUMIFS(' 2-3-6. Travel&amp;Costs of Stay'!N:N,' 2-3-6. Travel&amp;Costs of Stay'!C:C,B22,' 2-3-6. Travel&amp;Costs of Stay'!B:B,$C$21)</f>
        <v>390</v>
      </c>
      <c r="D22" s="22">
        <f>SUMIFS('1. Staff costs'!S:S,'1. Staff costs'!C:C,B22,'1. Staff costs'!B:B,$D$21)+SUMIFS(' 2-3-6. Travel&amp;Costs of Stay'!O:O,' 2-3-6. Travel&amp;Costs of Stay'!C:C,B22,' 2-3-6. Travel&amp;Costs of Stay'!B:B,$D$21)+SUMIFS(' 2-3-6. Travel&amp;Costs of Stay'!P:P,' 2-3-6. Travel&amp;Costs of Stay'!C:C,B22,' 2-3-6. Travel&amp;Costs of Stay'!B:B,$D$21)+SUMIFS('4. Equipment Costs'!H:H,'4. Equipment Costs'!C:C,B22,'4. Equipment Costs'!B:B,$D$21)+SUMIFS('5. Subcontracting Costs'!H:H,'5. Subcontracting Costs'!C:C,B22,'5. Subcontracting Costs'!B:B,$D$21)+SUMIFS(' 2-3-6. Travel&amp;Costs of Stay'!N:N,' 2-3-6. Travel&amp;Costs of Stay'!C:C,B22,' 2-3-6. Travel&amp;Costs of Stay'!B:B,$D$21)</f>
        <v>19285</v>
      </c>
      <c r="E22" s="22">
        <f>SUMIFS('1. Staff costs'!S:S,'1. Staff costs'!C:C,B22,'1. Staff costs'!B:B,$E$21)+SUMIFS(' 2-3-6. Travel&amp;Costs of Stay'!O:O,' 2-3-6. Travel&amp;Costs of Stay'!C:C,B22,' 2-3-6. Travel&amp;Costs of Stay'!B:B,$E$21)+SUMIFS(' 2-3-6. Travel&amp;Costs of Stay'!P:P,' 2-3-6. Travel&amp;Costs of Stay'!C:C,B22,' 2-3-6. Travel&amp;Costs of Stay'!B:B,$E$21)+SUMIFS('4. Equipment Costs'!H:H,'4. Equipment Costs'!C:C,B22,'4. Equipment Costs'!B:B,$E$21)+SUMIFS('5. Subcontracting Costs'!H:H,'5. Subcontracting Costs'!C:C,B22,'5. Subcontracting Costs'!B:B,$E$21)+SUMIFS(' 2-3-6. Travel&amp;Costs of Stay'!N:N,' 2-3-6. Travel&amp;Costs of Stay'!C:C,B22,' 2-3-6. Travel&amp;Costs of Stay'!B:B,$E$21)</f>
        <v>7920</v>
      </c>
      <c r="F22" s="22">
        <f>SUMIFS('1. Staff costs'!S:S,'1. Staff costs'!C:C,B22,'1. Staff costs'!B:B,$F$21)+SUMIFS(' 2-3-6. Travel&amp;Costs of Stay'!O:O,' 2-3-6. Travel&amp;Costs of Stay'!C:C,B22,' 2-3-6. Travel&amp;Costs of Stay'!B:B,$F$21)+SUMIFS(' 2-3-6. Travel&amp;Costs of Stay'!P:P,' 2-3-6. Travel&amp;Costs of Stay'!C:C,B22,' 2-3-6. Travel&amp;Costs of Stay'!B:B,$F$21)+SUMIFS('4. Equipment Costs'!H:H,'4. Equipment Costs'!C:C,B22,'4. Equipment Costs'!B:B,$F$21)+SUMIFS('5. Subcontracting Costs'!H:H,'5. Subcontracting Costs'!C:C,B22,'5. Subcontracting Costs'!B:B,$F$21)+SUMIFS(' 2-3-6. Travel&amp;Costs of Stay'!N:N,' 2-3-6. Travel&amp;Costs of Stay'!C:C,B22,' 2-3-6. Travel&amp;Costs of Stay'!B:B,$F$21)</f>
        <v>20000</v>
      </c>
      <c r="G22" s="22">
        <f>SUMIFS('1. Staff costs'!S:S,'1. Staff costs'!C:C,B22,'1. Staff costs'!B:B,$G$21)+SUMIFS(' 2-3-6. Travel&amp;Costs of Stay'!O:O,' 2-3-6. Travel&amp;Costs of Stay'!C:C,B22,' 2-3-6. Travel&amp;Costs of Stay'!B:B,$G$21)+SUMIFS(' 2-3-6. Travel&amp;Costs of Stay'!P:P,' 2-3-6. Travel&amp;Costs of Stay'!C:C,B22,' 2-3-6. Travel&amp;Costs of Stay'!B:B,$G$21)+SUMIFS('4. Equipment Costs'!H:H,'4. Equipment Costs'!C:C,B22,'4. Equipment Costs'!B:B,$G$21)+SUMIFS('5. Subcontracting Costs'!H:H,'5. Subcontracting Costs'!C:C,B22,'5. Subcontracting Costs'!B:B,$G$21)+SUMIFS(' 2-3-6. Travel&amp;Costs of Stay'!N:N,' 2-3-6. Travel&amp;Costs of Stay'!C:C,B22,' 2-3-6. Travel&amp;Costs of Stay'!B:B,$G$21)</f>
        <v>1760</v>
      </c>
      <c r="H22" s="233">
        <f t="shared" ref="H22:H34" si="3">SUM(C22:G22)</f>
        <v>49355</v>
      </c>
      <c r="I22" s="234"/>
    </row>
    <row r="23" spans="2:9" x14ac:dyDescent="0.35">
      <c r="B23" s="48" t="s">
        <v>31</v>
      </c>
      <c r="C23" s="22">
        <f>SUMIFS('1. Staff costs'!S:S,'1. Staff costs'!C:C,B23,'1. Staff costs'!B:B,$C$21)+SUMIFS(' 2-3-6. Travel&amp;Costs of Stay'!O:O,' 2-3-6. Travel&amp;Costs of Stay'!C:C,B23,' 2-3-6. Travel&amp;Costs of Stay'!B:B,$C$21)+SUMIFS(' 2-3-6. Travel&amp;Costs of Stay'!P:P,' 2-3-6. Travel&amp;Costs of Stay'!C:C,B23,' 2-3-6. Travel&amp;Costs of Stay'!B:B,$C$21)+SUMIFS('4. Equipment Costs'!H:H,'4. Equipment Costs'!C:C,B23,'4. Equipment Costs'!B:B,$C$21)+SUMIFS('5. Subcontracting Costs'!H:H,'5. Subcontracting Costs'!C:C,B23,'5. Subcontracting Costs'!B:B,$C$21)+SUMIFS(' 2-3-6. Travel&amp;Costs of Stay'!N:N,' 2-3-6. Travel&amp;Costs of Stay'!C:C,B23,' 2-3-6. Travel&amp;Costs of Stay'!B:B,$C$21)</f>
        <v>390</v>
      </c>
      <c r="D23" s="22">
        <f>SUMIFS('1. Staff costs'!S:S,'1. Staff costs'!C:C,B23,'1. Staff costs'!B:B,$D$21)+SUMIFS(' 2-3-6. Travel&amp;Costs of Stay'!O:O,' 2-3-6. Travel&amp;Costs of Stay'!C:C,B23,' 2-3-6. Travel&amp;Costs of Stay'!B:B,$D$21)+SUMIFS(' 2-3-6. Travel&amp;Costs of Stay'!P:P,' 2-3-6. Travel&amp;Costs of Stay'!C:C,B23,' 2-3-6. Travel&amp;Costs of Stay'!B:B,$D$21)+SUMIFS('4. Equipment Costs'!H:H,'4. Equipment Costs'!C:C,B23,'4. Equipment Costs'!B:B,$D$21)+SUMIFS('5. Subcontracting Costs'!H:H,'5. Subcontracting Costs'!C:C,B23,'5. Subcontracting Costs'!B:B,$D$21)+SUMIFS(' 2-3-6. Travel&amp;Costs of Stay'!N:N,' 2-3-6. Travel&amp;Costs of Stay'!C:C,B23,' 2-3-6. Travel&amp;Costs of Stay'!B:B,$D$21)</f>
        <v>20808</v>
      </c>
      <c r="E23" s="22">
        <f>SUMIFS('1. Staff costs'!S:S,'1. Staff costs'!C:C,B23,'1. Staff costs'!B:B,$E$21)+SUMIFS(' 2-3-6. Travel&amp;Costs of Stay'!O:O,' 2-3-6. Travel&amp;Costs of Stay'!C:C,B23,' 2-3-6. Travel&amp;Costs of Stay'!B:B,$E$21)+SUMIFS(' 2-3-6. Travel&amp;Costs of Stay'!P:P,' 2-3-6. Travel&amp;Costs of Stay'!C:C,B23,' 2-3-6. Travel&amp;Costs of Stay'!B:B,$E$21)+SUMIFS('4. Equipment Costs'!H:H,'4. Equipment Costs'!C:C,B23,'4. Equipment Costs'!B:B,$E$21)+SUMIFS('5. Subcontracting Costs'!H:H,'5. Subcontracting Costs'!C:C,B23,'5. Subcontracting Costs'!B:B,$E$21)+SUMIFS(' 2-3-6. Travel&amp;Costs of Stay'!N:N,' 2-3-6. Travel&amp;Costs of Stay'!C:C,B23,' 2-3-6. Travel&amp;Costs of Stay'!B:B,$E$21)</f>
        <v>7920</v>
      </c>
      <c r="F23" s="22">
        <f>SUMIFS('1. Staff costs'!S:S,'1. Staff costs'!C:C,B23,'1. Staff costs'!B:B,$F$21)+SUMIFS(' 2-3-6. Travel&amp;Costs of Stay'!O:O,' 2-3-6. Travel&amp;Costs of Stay'!C:C,B23,' 2-3-6. Travel&amp;Costs of Stay'!B:B,$F$21)+SUMIFS(' 2-3-6. Travel&amp;Costs of Stay'!P:P,' 2-3-6. Travel&amp;Costs of Stay'!C:C,B23,' 2-3-6. Travel&amp;Costs of Stay'!B:B,$F$21)+SUMIFS('4. Equipment Costs'!H:H,'4. Equipment Costs'!C:C,B23,'4. Equipment Costs'!B:B,$F$21)+SUMIFS('5. Subcontracting Costs'!H:H,'5. Subcontracting Costs'!C:C,B23,'5. Subcontracting Costs'!B:B,$F$21)+SUMIFS(' 2-3-6. Travel&amp;Costs of Stay'!N:N,' 2-3-6. Travel&amp;Costs of Stay'!C:C,B23,' 2-3-6. Travel&amp;Costs of Stay'!B:B,$F$21)</f>
        <v>0</v>
      </c>
      <c r="G23" s="22">
        <f>SUMIFS('1. Staff costs'!S:S,'1. Staff costs'!C:C,B23,'1. Staff costs'!B:B,$G$21)+SUMIFS(' 2-3-6. Travel&amp;Costs of Stay'!O:O,' 2-3-6. Travel&amp;Costs of Stay'!C:C,B23,' 2-3-6. Travel&amp;Costs of Stay'!B:B,$G$21)+SUMIFS(' 2-3-6. Travel&amp;Costs of Stay'!P:P,' 2-3-6. Travel&amp;Costs of Stay'!C:C,B23,' 2-3-6. Travel&amp;Costs of Stay'!B:B,$G$21)+SUMIFS('4. Equipment Costs'!H:H,'4. Equipment Costs'!C:C,B23,'4. Equipment Costs'!B:B,$G$21)+SUMIFS('5. Subcontracting Costs'!H:H,'5. Subcontracting Costs'!C:C,B23,'5. Subcontracting Costs'!B:B,$G$21)+SUMIFS(' 2-3-6. Travel&amp;Costs of Stay'!N:N,' 2-3-6. Travel&amp;Costs of Stay'!C:C,B23,' 2-3-6. Travel&amp;Costs of Stay'!B:B,$G$21)</f>
        <v>1760</v>
      </c>
      <c r="H23" s="233">
        <f t="shared" si="3"/>
        <v>30878</v>
      </c>
      <c r="I23" s="234"/>
    </row>
    <row r="24" spans="2:9" x14ac:dyDescent="0.35">
      <c r="B24" s="48" t="s">
        <v>33</v>
      </c>
      <c r="C24" s="22">
        <f>SUMIFS('1. Staff costs'!S:S,'1. Staff costs'!C:C,B24,'1. Staff costs'!B:B,$C$21)+SUMIFS(' 2-3-6. Travel&amp;Costs of Stay'!O:O,' 2-3-6. Travel&amp;Costs of Stay'!C:C,B24,' 2-3-6. Travel&amp;Costs of Stay'!B:B,$C$21)+SUMIFS(' 2-3-6. Travel&amp;Costs of Stay'!P:P,' 2-3-6. Travel&amp;Costs of Stay'!C:C,B24,' 2-3-6. Travel&amp;Costs of Stay'!B:B,$C$21)+SUMIFS('4. Equipment Costs'!H:H,'4. Equipment Costs'!C:C,B24,'4. Equipment Costs'!B:B,$C$21)+SUMIFS('5. Subcontracting Costs'!H:H,'5. Subcontracting Costs'!C:C,B24,'5. Subcontracting Costs'!B:B,$C$21)+SUMIFS(' 2-3-6. Travel&amp;Costs of Stay'!N:N,' 2-3-6. Travel&amp;Costs of Stay'!C:C,B24,' 2-3-6. Travel&amp;Costs of Stay'!B:B,$C$21)</f>
        <v>390</v>
      </c>
      <c r="D24" s="22">
        <f>SUMIFS('1. Staff costs'!S:S,'1. Staff costs'!C:C,B24,'1. Staff costs'!B:B,$D$21)+SUMIFS(' 2-3-6. Travel&amp;Costs of Stay'!O:O,' 2-3-6. Travel&amp;Costs of Stay'!C:C,B24,' 2-3-6. Travel&amp;Costs of Stay'!B:B,$D$21)+SUMIFS(' 2-3-6. Travel&amp;Costs of Stay'!P:P,' 2-3-6. Travel&amp;Costs of Stay'!C:C,B24,' 2-3-6. Travel&amp;Costs of Stay'!B:B,$D$21)+SUMIFS('4. Equipment Costs'!H:H,'4. Equipment Costs'!C:C,B24,'4. Equipment Costs'!B:B,$D$21)+SUMIFS('5. Subcontracting Costs'!H:H,'5. Subcontracting Costs'!C:C,B24,'5. Subcontracting Costs'!B:B,$D$21)+SUMIFS(' 2-3-6. Travel&amp;Costs of Stay'!N:N,' 2-3-6. Travel&amp;Costs of Stay'!C:C,B24,' 2-3-6. Travel&amp;Costs of Stay'!B:B,$D$21)</f>
        <v>20334</v>
      </c>
      <c r="E24" s="22">
        <f>SUMIFS('1. Staff costs'!S:S,'1. Staff costs'!C:C,B24,'1. Staff costs'!B:B,$E$21)+SUMIFS(' 2-3-6. Travel&amp;Costs of Stay'!O:O,' 2-3-6. Travel&amp;Costs of Stay'!C:C,B24,' 2-3-6. Travel&amp;Costs of Stay'!B:B,$E$21)+SUMIFS(' 2-3-6. Travel&amp;Costs of Stay'!P:P,' 2-3-6. Travel&amp;Costs of Stay'!C:C,B24,' 2-3-6. Travel&amp;Costs of Stay'!B:B,$E$21)+SUMIFS('4. Equipment Costs'!H:H,'4. Equipment Costs'!C:C,B24,'4. Equipment Costs'!B:B,$E$21)+SUMIFS('5. Subcontracting Costs'!H:H,'5. Subcontracting Costs'!C:C,B24,'5. Subcontracting Costs'!B:B,$E$21)+SUMIFS(' 2-3-6. Travel&amp;Costs of Stay'!N:N,' 2-3-6. Travel&amp;Costs of Stay'!C:C,B24,' 2-3-6. Travel&amp;Costs of Stay'!B:B,$E$21)</f>
        <v>7920</v>
      </c>
      <c r="F24" s="22">
        <f>SUMIFS('1. Staff costs'!S:S,'1. Staff costs'!C:C,B24,'1. Staff costs'!B:B,$F$21)+SUMIFS(' 2-3-6. Travel&amp;Costs of Stay'!O:O,' 2-3-6. Travel&amp;Costs of Stay'!C:C,B24,' 2-3-6. Travel&amp;Costs of Stay'!B:B,$F$21)+SUMIFS(' 2-3-6. Travel&amp;Costs of Stay'!P:P,' 2-3-6. Travel&amp;Costs of Stay'!C:C,B24,' 2-3-6. Travel&amp;Costs of Stay'!B:B,$F$21)+SUMIFS('4. Equipment Costs'!H:H,'4. Equipment Costs'!C:C,B24,'4. Equipment Costs'!B:B,$F$21)+SUMIFS('5. Subcontracting Costs'!H:H,'5. Subcontracting Costs'!C:C,B24,'5. Subcontracting Costs'!B:B,$F$21)+SUMIFS(' 2-3-6. Travel&amp;Costs of Stay'!N:N,' 2-3-6. Travel&amp;Costs of Stay'!C:C,B24,' 2-3-6. Travel&amp;Costs of Stay'!B:B,$F$21)</f>
        <v>0</v>
      </c>
      <c r="G24" s="22">
        <f>SUMIFS('1. Staff costs'!S:S,'1. Staff costs'!C:C,B24,'1. Staff costs'!B:B,$G$21)+SUMIFS(' 2-3-6. Travel&amp;Costs of Stay'!O:O,' 2-3-6. Travel&amp;Costs of Stay'!C:C,B24,' 2-3-6. Travel&amp;Costs of Stay'!B:B,$G$21)+SUMIFS(' 2-3-6. Travel&amp;Costs of Stay'!P:P,' 2-3-6. Travel&amp;Costs of Stay'!C:C,B24,' 2-3-6. Travel&amp;Costs of Stay'!B:B,$G$21)+SUMIFS('4. Equipment Costs'!H:H,'4. Equipment Costs'!C:C,B24,'4. Equipment Costs'!B:B,$G$21)+SUMIFS('5. Subcontracting Costs'!H:H,'5. Subcontracting Costs'!C:C,B24,'5. Subcontracting Costs'!B:B,$G$21)+SUMIFS(' 2-3-6. Travel&amp;Costs of Stay'!N:N,' 2-3-6. Travel&amp;Costs of Stay'!C:C,B24,' 2-3-6. Travel&amp;Costs of Stay'!B:B,$G$21)</f>
        <v>58385</v>
      </c>
      <c r="H24" s="233">
        <f t="shared" si="3"/>
        <v>87029</v>
      </c>
      <c r="I24" s="234"/>
    </row>
    <row r="25" spans="2:9" x14ac:dyDescent="0.35">
      <c r="B25" s="48" t="s">
        <v>36</v>
      </c>
      <c r="C25" s="22">
        <f>SUMIFS('1. Staff costs'!S:S,'1. Staff costs'!C:C,B25,'1. Staff costs'!B:B,$C$21)+SUMIFS(' 2-3-6. Travel&amp;Costs of Stay'!O:O,' 2-3-6. Travel&amp;Costs of Stay'!C:C,B25,' 2-3-6. Travel&amp;Costs of Stay'!B:B,$C$21)+SUMIFS(' 2-3-6. Travel&amp;Costs of Stay'!P:P,' 2-3-6. Travel&amp;Costs of Stay'!C:C,B25,' 2-3-6. Travel&amp;Costs of Stay'!B:B,$C$21)+SUMIFS('4. Equipment Costs'!H:H,'4. Equipment Costs'!C:C,B25,'4. Equipment Costs'!B:B,$C$21)+SUMIFS('5. Subcontracting Costs'!H:H,'5. Subcontracting Costs'!C:C,B25,'5. Subcontracting Costs'!B:B,$C$21)+SUMIFS(' 2-3-6. Travel&amp;Costs of Stay'!N:N,' 2-3-6. Travel&amp;Costs of Stay'!C:C,B25,' 2-3-6. Travel&amp;Costs of Stay'!B:B,$C$21)</f>
        <v>0</v>
      </c>
      <c r="D25" s="22">
        <f>SUMIFS('1. Staff costs'!S:S,'1. Staff costs'!C:C,B25,'1. Staff costs'!B:B,$D$21)+SUMIFS(' 2-3-6. Travel&amp;Costs of Stay'!O:O,' 2-3-6. Travel&amp;Costs of Stay'!C:C,B25,' 2-3-6. Travel&amp;Costs of Stay'!B:B,$D$21)+SUMIFS(' 2-3-6. Travel&amp;Costs of Stay'!P:P,' 2-3-6. Travel&amp;Costs of Stay'!C:C,B25,' 2-3-6. Travel&amp;Costs of Stay'!B:B,$D$21)+SUMIFS('4. Equipment Costs'!H:H,'4. Equipment Costs'!C:C,B25,'4. Equipment Costs'!B:B,$D$21)+SUMIFS('5. Subcontracting Costs'!H:H,'5. Subcontracting Costs'!C:C,B25,'5. Subcontracting Costs'!B:B,$D$21)+SUMIFS(' 2-3-6. Travel&amp;Costs of Stay'!N:N,' 2-3-6. Travel&amp;Costs of Stay'!C:C,B25,' 2-3-6. Travel&amp;Costs of Stay'!B:B,$D$21)</f>
        <v>20370</v>
      </c>
      <c r="E25" s="22">
        <f>SUMIFS('1. Staff costs'!S:S,'1. Staff costs'!C:C,B25,'1. Staff costs'!B:B,$E$21)+SUMIFS(' 2-3-6. Travel&amp;Costs of Stay'!O:O,' 2-3-6. Travel&amp;Costs of Stay'!C:C,B25,' 2-3-6. Travel&amp;Costs of Stay'!B:B,$E$21)+SUMIFS(' 2-3-6. Travel&amp;Costs of Stay'!P:P,' 2-3-6. Travel&amp;Costs of Stay'!C:C,B25,' 2-3-6. Travel&amp;Costs of Stay'!B:B,$E$21)+SUMIFS('4. Equipment Costs'!H:H,'4. Equipment Costs'!C:C,B25,'4. Equipment Costs'!B:B,$E$21)+SUMIFS('5. Subcontracting Costs'!H:H,'5. Subcontracting Costs'!C:C,B25,'5. Subcontracting Costs'!B:B,$E$21)+SUMIFS(' 2-3-6. Travel&amp;Costs of Stay'!N:N,' 2-3-6. Travel&amp;Costs of Stay'!C:C,B25,' 2-3-6. Travel&amp;Costs of Stay'!B:B,$E$21)</f>
        <v>0</v>
      </c>
      <c r="F25" s="22">
        <f>SUMIFS('1. Staff costs'!S:S,'1. Staff costs'!C:C,B25,'1. Staff costs'!B:B,$F$21)+SUMIFS(' 2-3-6. Travel&amp;Costs of Stay'!O:O,' 2-3-6. Travel&amp;Costs of Stay'!C:C,B25,' 2-3-6. Travel&amp;Costs of Stay'!B:B,$F$21)+SUMIFS(' 2-3-6. Travel&amp;Costs of Stay'!P:P,' 2-3-6. Travel&amp;Costs of Stay'!C:C,B25,' 2-3-6. Travel&amp;Costs of Stay'!B:B,$F$21)+SUMIFS('4. Equipment Costs'!H:H,'4. Equipment Costs'!C:C,B25,'4. Equipment Costs'!B:B,$F$21)+SUMIFS('5. Subcontracting Costs'!H:H,'5. Subcontracting Costs'!C:C,B25,'5. Subcontracting Costs'!B:B,$F$21)+SUMIFS(' 2-3-6. Travel&amp;Costs of Stay'!N:N,' 2-3-6. Travel&amp;Costs of Stay'!C:C,B25,' 2-3-6. Travel&amp;Costs of Stay'!B:B,$F$21)</f>
        <v>0</v>
      </c>
      <c r="G25" s="22">
        <f>SUMIFS('1. Staff costs'!S:S,'1. Staff costs'!C:C,B25,'1. Staff costs'!B:B,$G$21)+SUMIFS(' 2-3-6. Travel&amp;Costs of Stay'!O:O,' 2-3-6. Travel&amp;Costs of Stay'!C:C,B25,' 2-3-6. Travel&amp;Costs of Stay'!B:B,$G$21)+SUMIFS(' 2-3-6. Travel&amp;Costs of Stay'!P:P,' 2-3-6. Travel&amp;Costs of Stay'!C:C,B25,' 2-3-6. Travel&amp;Costs of Stay'!B:B,$G$21)+SUMIFS('4. Equipment Costs'!H:H,'4. Equipment Costs'!C:C,B25,'4. Equipment Costs'!B:B,$G$21)+SUMIFS('5. Subcontracting Costs'!H:H,'5. Subcontracting Costs'!C:C,B25,'5. Subcontracting Costs'!B:B,$G$21)+SUMIFS(' 2-3-6. Travel&amp;Costs of Stay'!N:N,' 2-3-6. Travel&amp;Costs of Stay'!C:C,B25,' 2-3-6. Travel&amp;Costs of Stay'!B:B,$G$21)</f>
        <v>0</v>
      </c>
      <c r="H25" s="233">
        <f t="shared" si="3"/>
        <v>20370</v>
      </c>
      <c r="I25" s="234"/>
    </row>
    <row r="26" spans="2:9" x14ac:dyDescent="0.35">
      <c r="B26" s="48" t="s">
        <v>39</v>
      </c>
      <c r="C26" s="22">
        <f>SUMIFS('1. Staff costs'!S:S,'1. Staff costs'!C:C,B26,'1. Staff costs'!B:B,$C$21)+SUMIFS(' 2-3-6. Travel&amp;Costs of Stay'!O:O,' 2-3-6. Travel&amp;Costs of Stay'!C:C,B26,' 2-3-6. Travel&amp;Costs of Stay'!B:B,$C$21)+SUMIFS(' 2-3-6. Travel&amp;Costs of Stay'!P:P,' 2-3-6. Travel&amp;Costs of Stay'!C:C,B26,' 2-3-6. Travel&amp;Costs of Stay'!B:B,$C$21)+SUMIFS('4. Equipment Costs'!H:H,'4. Equipment Costs'!C:C,B26,'4. Equipment Costs'!B:B,$C$21)+SUMIFS('5. Subcontracting Costs'!H:H,'5. Subcontracting Costs'!C:C,B26,'5. Subcontracting Costs'!B:B,$C$21)+SUMIFS(' 2-3-6. Travel&amp;Costs of Stay'!N:N,' 2-3-6. Travel&amp;Costs of Stay'!C:C,B26,' 2-3-6. Travel&amp;Costs of Stay'!B:B,$C$21)</f>
        <v>390</v>
      </c>
      <c r="D26" s="22">
        <f>SUMIFS('1. Staff costs'!S:S,'1. Staff costs'!C:C,B26,'1. Staff costs'!B:B,$D$21)+SUMIFS(' 2-3-6. Travel&amp;Costs of Stay'!O:O,' 2-3-6. Travel&amp;Costs of Stay'!C:C,B26,' 2-3-6. Travel&amp;Costs of Stay'!B:B,$D$21)+SUMIFS(' 2-3-6. Travel&amp;Costs of Stay'!P:P,' 2-3-6. Travel&amp;Costs of Stay'!C:C,B26,' 2-3-6. Travel&amp;Costs of Stay'!B:B,$D$21)+SUMIFS('4. Equipment Costs'!H:H,'4. Equipment Costs'!C:C,B26,'4. Equipment Costs'!B:B,$D$21)+SUMIFS('5. Subcontracting Costs'!H:H,'5. Subcontracting Costs'!C:C,B26,'5. Subcontracting Costs'!B:B,$D$21)+SUMIFS(' 2-3-6. Travel&amp;Costs of Stay'!N:N,' 2-3-6. Travel&amp;Costs of Stay'!C:C,B26,' 2-3-6. Travel&amp;Costs of Stay'!B:B,$D$21)</f>
        <v>13680</v>
      </c>
      <c r="E26" s="22">
        <f>SUMIFS('1. Staff costs'!S:S,'1. Staff costs'!C:C,B26,'1. Staff costs'!B:B,$E$21)+SUMIFS(' 2-3-6. Travel&amp;Costs of Stay'!O:O,' 2-3-6. Travel&amp;Costs of Stay'!C:C,B26,' 2-3-6. Travel&amp;Costs of Stay'!B:B,$E$21)+SUMIFS(' 2-3-6. Travel&amp;Costs of Stay'!P:P,' 2-3-6. Travel&amp;Costs of Stay'!C:C,B26,' 2-3-6. Travel&amp;Costs of Stay'!B:B,$E$21)+SUMIFS('4. Equipment Costs'!H:H,'4. Equipment Costs'!C:C,B26,'4. Equipment Costs'!B:B,$E$21)+SUMIFS('5. Subcontracting Costs'!H:H,'5. Subcontracting Costs'!C:C,B26,'5. Subcontracting Costs'!B:B,$E$21)+SUMIFS(' 2-3-6. Travel&amp;Costs of Stay'!N:N,' 2-3-6. Travel&amp;Costs of Stay'!C:C,B26,' 2-3-6. Travel&amp;Costs of Stay'!B:B,$E$21)</f>
        <v>7920</v>
      </c>
      <c r="F26" s="22">
        <f>SUMIFS('1. Staff costs'!S:S,'1. Staff costs'!C:C,B26,'1. Staff costs'!B:B,$F$21)+SUMIFS(' 2-3-6. Travel&amp;Costs of Stay'!O:O,' 2-3-6. Travel&amp;Costs of Stay'!C:C,B26,' 2-3-6. Travel&amp;Costs of Stay'!B:B,$F$21)+SUMIFS(' 2-3-6. Travel&amp;Costs of Stay'!P:P,' 2-3-6. Travel&amp;Costs of Stay'!C:C,B26,' 2-3-6. Travel&amp;Costs of Stay'!B:B,$F$21)+SUMIFS('4. Equipment Costs'!H:H,'4. Equipment Costs'!C:C,B26,'4. Equipment Costs'!B:B,$F$21)+SUMIFS('5. Subcontracting Costs'!H:H,'5. Subcontracting Costs'!C:C,B26,'5. Subcontracting Costs'!B:B,$F$21)+SUMIFS(' 2-3-6. Travel&amp;Costs of Stay'!N:N,' 2-3-6. Travel&amp;Costs of Stay'!C:C,B26,' 2-3-6. Travel&amp;Costs of Stay'!B:B,$F$21)</f>
        <v>20000</v>
      </c>
      <c r="G26" s="22">
        <f>SUMIFS('1. Staff costs'!S:S,'1. Staff costs'!C:C,B26,'1. Staff costs'!B:B,$G$21)+SUMIFS(' 2-3-6. Travel&amp;Costs of Stay'!O:O,' 2-3-6. Travel&amp;Costs of Stay'!C:C,B26,' 2-3-6. Travel&amp;Costs of Stay'!B:B,$G$21)+SUMIFS(' 2-3-6. Travel&amp;Costs of Stay'!P:P,' 2-3-6. Travel&amp;Costs of Stay'!C:C,B26,' 2-3-6. Travel&amp;Costs of Stay'!B:B,$G$21)+SUMIFS('4. Equipment Costs'!H:H,'4. Equipment Costs'!C:C,B26,'4. Equipment Costs'!B:B,$G$21)+SUMIFS('5. Subcontracting Costs'!H:H,'5. Subcontracting Costs'!C:C,B26,'5. Subcontracting Costs'!B:B,$G$21)+SUMIFS(' 2-3-6. Travel&amp;Costs of Stay'!N:N,' 2-3-6. Travel&amp;Costs of Stay'!C:C,B26,' 2-3-6. Travel&amp;Costs of Stay'!B:B,$G$21)</f>
        <v>1760</v>
      </c>
      <c r="H26" s="233">
        <f t="shared" si="3"/>
        <v>43750</v>
      </c>
      <c r="I26" s="234"/>
    </row>
    <row r="27" spans="2:9" x14ac:dyDescent="0.35">
      <c r="B27" s="48" t="s">
        <v>41</v>
      </c>
      <c r="C27" s="22">
        <f>SUMIFS('1. Staff costs'!S:S,'1. Staff costs'!C:C,B27,'1. Staff costs'!B:B,$C$21)+SUMIFS(' 2-3-6. Travel&amp;Costs of Stay'!O:O,' 2-3-6. Travel&amp;Costs of Stay'!C:C,B27,' 2-3-6. Travel&amp;Costs of Stay'!B:B,$C$21)+SUMIFS(' 2-3-6. Travel&amp;Costs of Stay'!P:P,' 2-3-6. Travel&amp;Costs of Stay'!C:C,B27,' 2-3-6. Travel&amp;Costs of Stay'!B:B,$C$21)+SUMIFS('4. Equipment Costs'!H:H,'4. Equipment Costs'!C:C,B27,'4. Equipment Costs'!B:B,$C$21)+SUMIFS('5. Subcontracting Costs'!H:H,'5. Subcontracting Costs'!C:C,B27,'5. Subcontracting Costs'!B:B,$C$21)+SUMIFS(' 2-3-6. Travel&amp;Costs of Stay'!N:N,' 2-3-6. Travel&amp;Costs of Stay'!C:C,B27,' 2-3-6. Travel&amp;Costs of Stay'!B:B,$C$21)</f>
        <v>7881</v>
      </c>
      <c r="D27" s="22">
        <f>SUMIFS('1. Staff costs'!S:S,'1. Staff costs'!C:C,B27,'1. Staff costs'!B:B,$D$21)+SUMIFS(' 2-3-6. Travel&amp;Costs of Stay'!O:O,' 2-3-6. Travel&amp;Costs of Stay'!C:C,B27,' 2-3-6. Travel&amp;Costs of Stay'!B:B,$D$21)+SUMIFS(' 2-3-6. Travel&amp;Costs of Stay'!P:P,' 2-3-6. Travel&amp;Costs of Stay'!C:C,B27,' 2-3-6. Travel&amp;Costs of Stay'!B:B,$D$21)+SUMIFS('4. Equipment Costs'!H:H,'4. Equipment Costs'!C:C,B27,'4. Equipment Costs'!B:B,$D$21)+SUMIFS('5. Subcontracting Costs'!H:H,'5. Subcontracting Costs'!C:C,B27,'5. Subcontracting Costs'!B:B,$D$21)+SUMIFS(' 2-3-6. Travel&amp;Costs of Stay'!N:N,' 2-3-6. Travel&amp;Costs of Stay'!C:C,B27,' 2-3-6. Travel&amp;Costs of Stay'!B:B,$D$21)</f>
        <v>20334</v>
      </c>
      <c r="E27" s="22">
        <f>SUMIFS('1. Staff costs'!S:S,'1. Staff costs'!C:C,B27,'1. Staff costs'!B:B,$E$21)+SUMIFS(' 2-3-6. Travel&amp;Costs of Stay'!O:O,' 2-3-6. Travel&amp;Costs of Stay'!C:C,B27,' 2-3-6. Travel&amp;Costs of Stay'!B:B,$E$21)+SUMIFS(' 2-3-6. Travel&amp;Costs of Stay'!P:P,' 2-3-6. Travel&amp;Costs of Stay'!C:C,B27,' 2-3-6. Travel&amp;Costs of Stay'!B:B,$E$21)+SUMIFS('4. Equipment Costs'!H:H,'4. Equipment Costs'!C:C,B27,'4. Equipment Costs'!B:B,$E$21)+SUMIFS('5. Subcontracting Costs'!H:H,'5. Subcontracting Costs'!C:C,B27,'5. Subcontracting Costs'!B:B,$E$21)+SUMIFS(' 2-3-6. Travel&amp;Costs of Stay'!N:N,' 2-3-6. Travel&amp;Costs of Stay'!C:C,B27,' 2-3-6. Travel&amp;Costs of Stay'!B:B,$E$21)</f>
        <v>7920</v>
      </c>
      <c r="F27" s="22">
        <f>SUMIFS('1. Staff costs'!S:S,'1. Staff costs'!C:C,B27,'1. Staff costs'!B:B,$F$21)+SUMIFS(' 2-3-6. Travel&amp;Costs of Stay'!O:O,' 2-3-6. Travel&amp;Costs of Stay'!C:C,B27,' 2-3-6. Travel&amp;Costs of Stay'!B:B,$F$21)+SUMIFS(' 2-3-6. Travel&amp;Costs of Stay'!P:P,' 2-3-6. Travel&amp;Costs of Stay'!C:C,B27,' 2-3-6. Travel&amp;Costs of Stay'!B:B,$F$21)+SUMIFS('4. Equipment Costs'!H:H,'4. Equipment Costs'!C:C,B27,'4. Equipment Costs'!B:B,$F$21)+SUMIFS('5. Subcontracting Costs'!H:H,'5. Subcontracting Costs'!C:C,B27,'5. Subcontracting Costs'!B:B,$F$21)+SUMIFS(' 2-3-6. Travel&amp;Costs of Stay'!N:N,' 2-3-6. Travel&amp;Costs of Stay'!C:C,B27,' 2-3-6. Travel&amp;Costs of Stay'!B:B,$F$21)</f>
        <v>0</v>
      </c>
      <c r="G27" s="22">
        <f>SUMIFS('1. Staff costs'!S:S,'1. Staff costs'!C:C,B27,'1. Staff costs'!B:B,$G$21)+SUMIFS(' 2-3-6. Travel&amp;Costs of Stay'!O:O,' 2-3-6. Travel&amp;Costs of Stay'!C:C,B27,' 2-3-6. Travel&amp;Costs of Stay'!B:B,$G$21)+SUMIFS(' 2-3-6. Travel&amp;Costs of Stay'!P:P,' 2-3-6. Travel&amp;Costs of Stay'!C:C,B27,' 2-3-6. Travel&amp;Costs of Stay'!B:B,$G$21)+SUMIFS('4. Equipment Costs'!H:H,'4. Equipment Costs'!C:C,B27,'4. Equipment Costs'!B:B,$G$21)+SUMIFS('5. Subcontracting Costs'!H:H,'5. Subcontracting Costs'!C:C,B27,'5. Subcontracting Costs'!B:B,$G$21)+SUMIFS(' 2-3-6. Travel&amp;Costs of Stay'!N:N,' 2-3-6. Travel&amp;Costs of Stay'!C:C,B27,' 2-3-6. Travel&amp;Costs of Stay'!B:B,$G$21)</f>
        <v>1760</v>
      </c>
      <c r="H27" s="233">
        <f t="shared" si="3"/>
        <v>37895</v>
      </c>
      <c r="I27" s="234"/>
    </row>
    <row r="28" spans="2:9" x14ac:dyDescent="0.35">
      <c r="B28" s="48" t="s">
        <v>44</v>
      </c>
      <c r="C28" s="22">
        <f>SUMIFS('1. Staff costs'!S:S,'1. Staff costs'!C:C,B28,'1. Staff costs'!B:B,$C$21)+SUMIFS(' 2-3-6. Travel&amp;Costs of Stay'!O:O,' 2-3-6. Travel&amp;Costs of Stay'!C:C,B28,' 2-3-6. Travel&amp;Costs of Stay'!B:B,$C$21)+SUMIFS(' 2-3-6. Travel&amp;Costs of Stay'!P:P,' 2-3-6. Travel&amp;Costs of Stay'!C:C,B28,' 2-3-6. Travel&amp;Costs of Stay'!B:B,$C$21)+SUMIFS('4. Equipment Costs'!H:H,'4. Equipment Costs'!C:C,B28,'4. Equipment Costs'!B:B,$C$21)+SUMIFS('5. Subcontracting Costs'!H:H,'5. Subcontracting Costs'!C:C,B28,'5. Subcontracting Costs'!B:B,$C$21)+SUMIFS(' 2-3-6. Travel&amp;Costs of Stay'!N:N,' 2-3-6. Travel&amp;Costs of Stay'!C:C,B28,' 2-3-6. Travel&amp;Costs of Stay'!B:B,$C$21)</f>
        <v>390</v>
      </c>
      <c r="D28" s="22">
        <f>SUMIFS('1. Staff costs'!S:S,'1. Staff costs'!C:C,B28,'1. Staff costs'!B:B,$D$21)+SUMIFS(' 2-3-6. Travel&amp;Costs of Stay'!O:O,' 2-3-6. Travel&amp;Costs of Stay'!C:C,B28,' 2-3-6. Travel&amp;Costs of Stay'!B:B,$D$21)+SUMIFS(' 2-3-6. Travel&amp;Costs of Stay'!P:P,' 2-3-6. Travel&amp;Costs of Stay'!C:C,B28,' 2-3-6. Travel&amp;Costs of Stay'!B:B,$D$21)+SUMIFS('4. Equipment Costs'!H:H,'4. Equipment Costs'!C:C,B28,'4. Equipment Costs'!B:B,$D$21)+SUMIFS('5. Subcontracting Costs'!H:H,'5. Subcontracting Costs'!C:C,B28,'5. Subcontracting Costs'!B:B,$D$21)+SUMIFS(' 2-3-6. Travel&amp;Costs of Stay'!N:N,' 2-3-6. Travel&amp;Costs of Stay'!C:C,B28,' 2-3-6. Travel&amp;Costs of Stay'!B:B,$D$21)</f>
        <v>31582</v>
      </c>
      <c r="E28" s="22">
        <f>SUMIFS('1. Staff costs'!S:S,'1. Staff costs'!C:C,B28,'1. Staff costs'!B:B,$E$21)+SUMIFS(' 2-3-6. Travel&amp;Costs of Stay'!O:O,' 2-3-6. Travel&amp;Costs of Stay'!C:C,B28,' 2-3-6. Travel&amp;Costs of Stay'!B:B,$E$21)+SUMIFS(' 2-3-6. Travel&amp;Costs of Stay'!P:P,' 2-3-6. Travel&amp;Costs of Stay'!C:C,B28,' 2-3-6. Travel&amp;Costs of Stay'!B:B,$E$21)+SUMIFS('4. Equipment Costs'!H:H,'4. Equipment Costs'!C:C,B28,'4. Equipment Costs'!B:B,$E$21)+SUMIFS('5. Subcontracting Costs'!H:H,'5. Subcontracting Costs'!C:C,B28,'5. Subcontracting Costs'!B:B,$E$21)+SUMIFS(' 2-3-6. Travel&amp;Costs of Stay'!N:N,' 2-3-6. Travel&amp;Costs of Stay'!C:C,B28,' 2-3-6. Travel&amp;Costs of Stay'!B:B,$E$21)</f>
        <v>7920</v>
      </c>
      <c r="F28" s="22">
        <f>SUMIFS('1. Staff costs'!S:S,'1. Staff costs'!C:C,B28,'1. Staff costs'!B:B,$F$21)+SUMIFS(' 2-3-6. Travel&amp;Costs of Stay'!O:O,' 2-3-6. Travel&amp;Costs of Stay'!C:C,B28,' 2-3-6. Travel&amp;Costs of Stay'!B:B,$F$21)+SUMIFS(' 2-3-6. Travel&amp;Costs of Stay'!P:P,' 2-3-6. Travel&amp;Costs of Stay'!C:C,B28,' 2-3-6. Travel&amp;Costs of Stay'!B:B,$F$21)+SUMIFS('4. Equipment Costs'!H:H,'4. Equipment Costs'!C:C,B28,'4. Equipment Costs'!B:B,$F$21)+SUMIFS('5. Subcontracting Costs'!H:H,'5. Subcontracting Costs'!C:C,B28,'5. Subcontracting Costs'!B:B,$F$21)+SUMIFS(' 2-3-6. Travel&amp;Costs of Stay'!N:N,' 2-3-6. Travel&amp;Costs of Stay'!C:C,B28,' 2-3-6. Travel&amp;Costs of Stay'!B:B,$F$21)</f>
        <v>0</v>
      </c>
      <c r="G28" s="22">
        <f>SUMIFS('1. Staff costs'!S:S,'1. Staff costs'!C:C,B28,'1. Staff costs'!B:B,$G$21)+SUMIFS(' 2-3-6. Travel&amp;Costs of Stay'!O:O,' 2-3-6. Travel&amp;Costs of Stay'!C:C,B28,' 2-3-6. Travel&amp;Costs of Stay'!B:B,$G$21)+SUMIFS(' 2-3-6. Travel&amp;Costs of Stay'!P:P,' 2-3-6. Travel&amp;Costs of Stay'!C:C,B28,' 2-3-6. Travel&amp;Costs of Stay'!B:B,$G$21)+SUMIFS('4. Equipment Costs'!H:H,'4. Equipment Costs'!C:C,B28,'4. Equipment Costs'!B:B,$G$21)+SUMIFS('5. Subcontracting Costs'!H:H,'5. Subcontracting Costs'!C:C,B28,'5. Subcontracting Costs'!B:B,$G$21)+SUMIFS(' 2-3-6. Travel&amp;Costs of Stay'!N:N,' 2-3-6. Travel&amp;Costs of Stay'!C:C,B28,' 2-3-6. Travel&amp;Costs of Stay'!B:B,$G$21)</f>
        <v>1760</v>
      </c>
      <c r="H28" s="233">
        <f t="shared" si="3"/>
        <v>41652</v>
      </c>
      <c r="I28" s="234"/>
    </row>
    <row r="29" spans="2:9" x14ac:dyDescent="0.35">
      <c r="B29" s="48" t="s">
        <v>46</v>
      </c>
      <c r="C29" s="22">
        <f>SUMIFS('1. Staff costs'!S:S,'1. Staff costs'!C:C,B29,'1. Staff costs'!B:B,$C$21)+SUMIFS(' 2-3-6. Travel&amp;Costs of Stay'!O:O,' 2-3-6. Travel&amp;Costs of Stay'!C:C,B29,' 2-3-6. Travel&amp;Costs of Stay'!B:B,$C$21)+SUMIFS(' 2-3-6. Travel&amp;Costs of Stay'!P:P,' 2-3-6. Travel&amp;Costs of Stay'!C:C,B29,' 2-3-6. Travel&amp;Costs of Stay'!B:B,$C$21)+SUMIFS('4. Equipment Costs'!H:H,'4. Equipment Costs'!C:C,B29,'4. Equipment Costs'!B:B,$C$21)+SUMIFS('5. Subcontracting Costs'!H:H,'5. Subcontracting Costs'!C:C,B29,'5. Subcontracting Costs'!B:B,$C$21)+SUMIFS(' 2-3-6. Travel&amp;Costs of Stay'!N:N,' 2-3-6. Travel&amp;Costs of Stay'!C:C,B29,' 2-3-6. Travel&amp;Costs of Stay'!B:B,$C$21)</f>
        <v>140450</v>
      </c>
      <c r="D29" s="22">
        <f>SUMIFS('1. Staff costs'!S:S,'1. Staff costs'!C:C,B29,'1. Staff costs'!B:B,$D$21)+SUMIFS(' 2-3-6. Travel&amp;Costs of Stay'!O:O,' 2-3-6. Travel&amp;Costs of Stay'!C:C,B29,' 2-3-6. Travel&amp;Costs of Stay'!B:B,$D$21)+SUMIFS(' 2-3-6. Travel&amp;Costs of Stay'!P:P,' 2-3-6. Travel&amp;Costs of Stay'!C:C,B29,' 2-3-6. Travel&amp;Costs of Stay'!B:B,$D$21)+SUMIFS('4. Equipment Costs'!H:H,'4. Equipment Costs'!C:C,B29,'4. Equipment Costs'!B:B,$D$21)+SUMIFS('5. Subcontracting Costs'!H:H,'5. Subcontracting Costs'!C:C,B29,'5. Subcontracting Costs'!B:B,$D$21)+SUMIFS(' 2-3-6. Travel&amp;Costs of Stay'!N:N,' 2-3-6. Travel&amp;Costs of Stay'!C:C,B29,' 2-3-6. Travel&amp;Costs of Stay'!B:B,$D$21)</f>
        <v>90904</v>
      </c>
      <c r="E29" s="22">
        <f>SUMIFS('1. Staff costs'!S:S,'1. Staff costs'!C:C,B29,'1. Staff costs'!B:B,$E$21)+SUMIFS(' 2-3-6. Travel&amp;Costs of Stay'!O:O,' 2-3-6. Travel&amp;Costs of Stay'!C:C,B29,' 2-3-6. Travel&amp;Costs of Stay'!B:B,$E$21)+SUMIFS(' 2-3-6. Travel&amp;Costs of Stay'!P:P,' 2-3-6. Travel&amp;Costs of Stay'!C:C,B29,' 2-3-6. Travel&amp;Costs of Stay'!B:B,$E$21)+SUMIFS('4. Equipment Costs'!H:H,'4. Equipment Costs'!C:C,B29,'4. Equipment Costs'!B:B,$E$21)+SUMIFS('5. Subcontracting Costs'!H:H,'5. Subcontracting Costs'!C:C,B29,'5. Subcontracting Costs'!B:B,$E$21)+SUMIFS(' 2-3-6. Travel&amp;Costs of Stay'!N:N,' 2-3-6. Travel&amp;Costs of Stay'!C:C,B29,' 2-3-6. Travel&amp;Costs of Stay'!B:B,$E$21)</f>
        <v>9720</v>
      </c>
      <c r="F29" s="22">
        <f>SUMIFS('1. Staff costs'!S:S,'1. Staff costs'!C:C,B29,'1. Staff costs'!B:B,$F$21)+SUMIFS(' 2-3-6. Travel&amp;Costs of Stay'!O:O,' 2-3-6. Travel&amp;Costs of Stay'!C:C,B29,' 2-3-6. Travel&amp;Costs of Stay'!B:B,$F$21)+SUMIFS(' 2-3-6. Travel&amp;Costs of Stay'!P:P,' 2-3-6. Travel&amp;Costs of Stay'!C:C,B29,' 2-3-6. Travel&amp;Costs of Stay'!B:B,$F$21)+SUMIFS('4. Equipment Costs'!H:H,'4. Equipment Costs'!C:C,B29,'4. Equipment Costs'!B:B,$F$21)+SUMIFS('5. Subcontracting Costs'!H:H,'5. Subcontracting Costs'!C:C,B29,'5. Subcontracting Costs'!B:B,$F$21)+SUMIFS(' 2-3-6. Travel&amp;Costs of Stay'!N:N,' 2-3-6. Travel&amp;Costs of Stay'!C:C,B29,' 2-3-6. Travel&amp;Costs of Stay'!B:B,$F$21)</f>
        <v>0</v>
      </c>
      <c r="G29" s="22">
        <f>SUMIFS('1. Staff costs'!S:S,'1. Staff costs'!C:C,B29,'1. Staff costs'!B:B,$G$21)+SUMIFS(' 2-3-6. Travel&amp;Costs of Stay'!O:O,' 2-3-6. Travel&amp;Costs of Stay'!C:C,B29,' 2-3-6. Travel&amp;Costs of Stay'!B:B,$G$21)+SUMIFS(' 2-3-6. Travel&amp;Costs of Stay'!P:P,' 2-3-6. Travel&amp;Costs of Stay'!C:C,B29,' 2-3-6. Travel&amp;Costs of Stay'!B:B,$G$21)+SUMIFS('4. Equipment Costs'!H:H,'4. Equipment Costs'!C:C,B29,'4. Equipment Costs'!B:B,$G$21)+SUMIFS('5. Subcontracting Costs'!H:H,'5. Subcontracting Costs'!C:C,B29,'5. Subcontracting Costs'!B:B,$G$21)+SUMIFS(' 2-3-6. Travel&amp;Costs of Stay'!N:N,' 2-3-6. Travel&amp;Costs of Stay'!C:C,B29,' 2-3-6. Travel&amp;Costs of Stay'!B:B,$G$21)</f>
        <v>2160</v>
      </c>
      <c r="H29" s="233">
        <f t="shared" si="3"/>
        <v>243234</v>
      </c>
      <c r="I29" s="234"/>
    </row>
    <row r="30" spans="2:9" x14ac:dyDescent="0.35">
      <c r="B30" s="48" t="s">
        <v>49</v>
      </c>
      <c r="C30" s="22">
        <f>SUMIFS('1. Staff costs'!S:S,'1. Staff costs'!C:C,B30,'1. Staff costs'!B:B,$C$21)+SUMIFS(' 2-3-6. Travel&amp;Costs of Stay'!O:O,' 2-3-6. Travel&amp;Costs of Stay'!C:C,B30,' 2-3-6. Travel&amp;Costs of Stay'!B:B,$C$21)+SUMIFS(' 2-3-6. Travel&amp;Costs of Stay'!P:P,' 2-3-6. Travel&amp;Costs of Stay'!C:C,B30,' 2-3-6. Travel&amp;Costs of Stay'!B:B,$C$21)+SUMIFS('4. Equipment Costs'!H:H,'4. Equipment Costs'!C:C,B30,'4. Equipment Costs'!B:B,$C$21)+SUMIFS('5. Subcontracting Costs'!H:H,'5. Subcontracting Costs'!C:C,B30,'5. Subcontracting Costs'!B:B,$C$21)+SUMIFS(' 2-3-6. Travel&amp;Costs of Stay'!N:N,' 2-3-6. Travel&amp;Costs of Stay'!C:C,B30,' 2-3-6. Travel&amp;Costs of Stay'!B:B,$C$21)</f>
        <v>390</v>
      </c>
      <c r="D30" s="22">
        <f>SUMIFS('1. Staff costs'!S:S,'1. Staff costs'!C:C,B30,'1. Staff costs'!B:B,$D$21)+SUMIFS(' 2-3-6. Travel&amp;Costs of Stay'!O:O,' 2-3-6. Travel&amp;Costs of Stay'!C:C,B30,' 2-3-6. Travel&amp;Costs of Stay'!B:B,$D$21)+SUMIFS(' 2-3-6. Travel&amp;Costs of Stay'!P:P,' 2-3-6. Travel&amp;Costs of Stay'!C:C,B30,' 2-3-6. Travel&amp;Costs of Stay'!B:B,$D$21)+SUMIFS('4. Equipment Costs'!H:H,'4. Equipment Costs'!C:C,B30,'4. Equipment Costs'!B:B,$D$21)+SUMIFS('5. Subcontracting Costs'!H:H,'5. Subcontracting Costs'!C:C,B30,'5. Subcontracting Costs'!B:B,$D$21)+SUMIFS(' 2-3-6. Travel&amp;Costs of Stay'!N:N,' 2-3-6. Travel&amp;Costs of Stay'!C:C,B30,' 2-3-6. Travel&amp;Costs of Stay'!B:B,$D$21)</f>
        <v>6654</v>
      </c>
      <c r="E30" s="22">
        <f>SUMIFS('1. Staff costs'!S:S,'1. Staff costs'!C:C,B30,'1. Staff costs'!B:B,$E$21)+SUMIFS(' 2-3-6. Travel&amp;Costs of Stay'!O:O,' 2-3-6. Travel&amp;Costs of Stay'!C:C,B30,' 2-3-6. Travel&amp;Costs of Stay'!B:B,$E$21)+SUMIFS(' 2-3-6. Travel&amp;Costs of Stay'!P:P,' 2-3-6. Travel&amp;Costs of Stay'!C:C,B30,' 2-3-6. Travel&amp;Costs of Stay'!B:B,$E$21)+SUMIFS('4. Equipment Costs'!H:H,'4. Equipment Costs'!C:C,B30,'4. Equipment Costs'!B:B,$E$21)+SUMIFS('5. Subcontracting Costs'!H:H,'5. Subcontracting Costs'!C:C,B30,'5. Subcontracting Costs'!B:B,$E$21)+SUMIFS(' 2-3-6. Travel&amp;Costs of Stay'!N:N,' 2-3-6. Travel&amp;Costs of Stay'!C:C,B30,' 2-3-6. Travel&amp;Costs of Stay'!B:B,$E$21)</f>
        <v>7920</v>
      </c>
      <c r="F30" s="22">
        <f>SUMIFS('1. Staff costs'!S:S,'1. Staff costs'!C:C,B30,'1. Staff costs'!B:B,$F$21)+SUMIFS(' 2-3-6. Travel&amp;Costs of Stay'!O:O,' 2-3-6. Travel&amp;Costs of Stay'!C:C,B30,' 2-3-6. Travel&amp;Costs of Stay'!B:B,$F$21)+SUMIFS(' 2-3-6. Travel&amp;Costs of Stay'!P:P,' 2-3-6. Travel&amp;Costs of Stay'!C:C,B30,' 2-3-6. Travel&amp;Costs of Stay'!B:B,$F$21)+SUMIFS('4. Equipment Costs'!H:H,'4. Equipment Costs'!C:C,B30,'4. Equipment Costs'!B:B,$F$21)+SUMIFS('5. Subcontracting Costs'!H:H,'5. Subcontracting Costs'!C:C,B30,'5. Subcontracting Costs'!B:B,$F$21)+SUMIFS(' 2-3-6. Travel&amp;Costs of Stay'!N:N,' 2-3-6. Travel&amp;Costs of Stay'!C:C,B30,' 2-3-6. Travel&amp;Costs of Stay'!B:B,$F$21)</f>
        <v>0</v>
      </c>
      <c r="G30" s="22">
        <f>SUMIFS('1. Staff costs'!S:S,'1. Staff costs'!C:C,B30,'1. Staff costs'!B:B,$G$21)+SUMIFS(' 2-3-6. Travel&amp;Costs of Stay'!O:O,' 2-3-6. Travel&amp;Costs of Stay'!C:C,B30,' 2-3-6. Travel&amp;Costs of Stay'!B:B,$G$21)+SUMIFS(' 2-3-6. Travel&amp;Costs of Stay'!P:P,' 2-3-6. Travel&amp;Costs of Stay'!C:C,B30,' 2-3-6. Travel&amp;Costs of Stay'!B:B,$G$21)+SUMIFS('4. Equipment Costs'!H:H,'4. Equipment Costs'!C:C,B30,'4. Equipment Costs'!B:B,$G$21)+SUMIFS('5. Subcontracting Costs'!H:H,'5. Subcontracting Costs'!C:C,B30,'5. Subcontracting Costs'!B:B,$G$21)+SUMIFS(' 2-3-6. Travel&amp;Costs of Stay'!N:N,' 2-3-6. Travel&amp;Costs of Stay'!C:C,B30,' 2-3-6. Travel&amp;Costs of Stay'!B:B,$G$21)</f>
        <v>1760</v>
      </c>
      <c r="H30" s="233">
        <f t="shared" si="3"/>
        <v>16724</v>
      </c>
      <c r="I30" s="234"/>
    </row>
    <row r="31" spans="2:9" x14ac:dyDescent="0.35">
      <c r="B31" s="48" t="s">
        <v>51</v>
      </c>
      <c r="C31" s="22">
        <f>SUMIFS('1. Staff costs'!S:S,'1. Staff costs'!C:C,B31,'1. Staff costs'!B:B,$C$21)+SUMIFS(' 2-3-6. Travel&amp;Costs of Stay'!O:O,' 2-3-6. Travel&amp;Costs of Stay'!C:C,B31,' 2-3-6. Travel&amp;Costs of Stay'!B:B,$C$21)+SUMIFS(' 2-3-6. Travel&amp;Costs of Stay'!P:P,' 2-3-6. Travel&amp;Costs of Stay'!C:C,B31,' 2-3-6. Travel&amp;Costs of Stay'!B:B,$C$21)+SUMIFS('4. Equipment Costs'!H:H,'4. Equipment Costs'!C:C,B31,'4. Equipment Costs'!B:B,$C$21)+SUMIFS('5. Subcontracting Costs'!H:H,'5. Subcontracting Costs'!C:C,B31,'5. Subcontracting Costs'!B:B,$C$21)+SUMIFS(' 2-3-6. Travel&amp;Costs of Stay'!N:N,' 2-3-6. Travel&amp;Costs of Stay'!C:C,B31,' 2-3-6. Travel&amp;Costs of Stay'!B:B,$C$21)</f>
        <v>0</v>
      </c>
      <c r="D31" s="22">
        <f>SUMIFS('1. Staff costs'!S:S,'1. Staff costs'!C:C,B31,'1. Staff costs'!B:B,$D$21)+SUMIFS(' 2-3-6. Travel&amp;Costs of Stay'!O:O,' 2-3-6. Travel&amp;Costs of Stay'!C:C,B31,' 2-3-6. Travel&amp;Costs of Stay'!B:B,$D$21)+SUMIFS(' 2-3-6. Travel&amp;Costs of Stay'!P:P,' 2-3-6. Travel&amp;Costs of Stay'!C:C,B31,' 2-3-6. Travel&amp;Costs of Stay'!B:B,$D$21)+SUMIFS('4. Equipment Costs'!H:H,'4. Equipment Costs'!C:C,B31,'4. Equipment Costs'!B:B,$D$21)+SUMIFS('5. Subcontracting Costs'!H:H,'5. Subcontracting Costs'!C:C,B31,'5. Subcontracting Costs'!B:B,$D$21)+SUMIFS(' 2-3-6. Travel&amp;Costs of Stay'!N:N,' 2-3-6. Travel&amp;Costs of Stay'!C:C,B31,' 2-3-6. Travel&amp;Costs of Stay'!B:B,$D$21)</f>
        <v>44427</v>
      </c>
      <c r="E31" s="22">
        <f>SUMIFS('1. Staff costs'!S:S,'1. Staff costs'!C:C,B31,'1. Staff costs'!B:B,$E$21)+SUMIFS(' 2-3-6. Travel&amp;Costs of Stay'!O:O,' 2-3-6. Travel&amp;Costs of Stay'!C:C,B31,' 2-3-6. Travel&amp;Costs of Stay'!B:B,$E$21)+SUMIFS(' 2-3-6. Travel&amp;Costs of Stay'!P:P,' 2-3-6. Travel&amp;Costs of Stay'!C:C,B31,' 2-3-6. Travel&amp;Costs of Stay'!B:B,$E$21)+SUMIFS('4. Equipment Costs'!H:H,'4. Equipment Costs'!C:C,B31,'4. Equipment Costs'!B:B,$E$21)+SUMIFS('5. Subcontracting Costs'!H:H,'5. Subcontracting Costs'!C:C,B31,'5. Subcontracting Costs'!B:B,$E$21)+SUMIFS(' 2-3-6. Travel&amp;Costs of Stay'!N:N,' 2-3-6. Travel&amp;Costs of Stay'!C:C,B31,' 2-3-6. Travel&amp;Costs of Stay'!B:B,$E$21)</f>
        <v>56625</v>
      </c>
      <c r="F31" s="22">
        <f>SUMIFS('1. Staff costs'!S:S,'1. Staff costs'!C:C,B31,'1. Staff costs'!B:B,$F$21)+SUMIFS(' 2-3-6. Travel&amp;Costs of Stay'!O:O,' 2-3-6. Travel&amp;Costs of Stay'!C:C,B31,' 2-3-6. Travel&amp;Costs of Stay'!B:B,$F$21)+SUMIFS(' 2-3-6. Travel&amp;Costs of Stay'!P:P,' 2-3-6. Travel&amp;Costs of Stay'!C:C,B31,' 2-3-6. Travel&amp;Costs of Stay'!B:B,$F$21)+SUMIFS('4. Equipment Costs'!H:H,'4. Equipment Costs'!C:C,B31,'4. Equipment Costs'!B:B,$F$21)+SUMIFS('5. Subcontracting Costs'!H:H,'5. Subcontracting Costs'!C:C,B31,'5. Subcontracting Costs'!B:B,$F$21)+SUMIFS(' 2-3-6. Travel&amp;Costs of Stay'!N:N,' 2-3-6. Travel&amp;Costs of Stay'!C:C,B31,' 2-3-6. Travel&amp;Costs of Stay'!B:B,$F$21)</f>
        <v>0</v>
      </c>
      <c r="G31" s="22">
        <f>SUMIFS('1. Staff costs'!S:S,'1. Staff costs'!C:C,B31,'1. Staff costs'!B:B,$G$21)+SUMIFS(' 2-3-6. Travel&amp;Costs of Stay'!O:O,' 2-3-6. Travel&amp;Costs of Stay'!C:C,B31,' 2-3-6. Travel&amp;Costs of Stay'!B:B,$G$21)+SUMIFS(' 2-3-6. Travel&amp;Costs of Stay'!P:P,' 2-3-6. Travel&amp;Costs of Stay'!C:C,B31,' 2-3-6. Travel&amp;Costs of Stay'!B:B,$G$21)+SUMIFS('4. Equipment Costs'!H:H,'4. Equipment Costs'!C:C,B31,'4. Equipment Costs'!B:B,$G$21)+SUMIFS('5. Subcontracting Costs'!H:H,'5. Subcontracting Costs'!C:C,B31,'5. Subcontracting Costs'!B:B,$G$21)+SUMIFS(' 2-3-6. Travel&amp;Costs of Stay'!N:N,' 2-3-6. Travel&amp;Costs of Stay'!C:C,B31,' 2-3-6. Travel&amp;Costs of Stay'!B:B,$G$21)</f>
        <v>20000</v>
      </c>
      <c r="H31" s="233">
        <f t="shared" si="3"/>
        <v>121052</v>
      </c>
      <c r="I31" s="234"/>
    </row>
    <row r="32" spans="2:9" x14ac:dyDescent="0.35">
      <c r="B32" s="48" t="s">
        <v>54</v>
      </c>
      <c r="C32" s="22">
        <f>SUMIFS('1. Staff costs'!S:S,'1. Staff costs'!C:C,B32,'1. Staff costs'!B:B,$C$21)+SUMIFS(' 2-3-6. Travel&amp;Costs of Stay'!O:O,' 2-3-6. Travel&amp;Costs of Stay'!C:C,B32,' 2-3-6. Travel&amp;Costs of Stay'!B:B,$C$21)+SUMIFS(' 2-3-6. Travel&amp;Costs of Stay'!P:P,' 2-3-6. Travel&amp;Costs of Stay'!C:C,B32,' 2-3-6. Travel&amp;Costs of Stay'!B:B,$C$21)+SUMIFS('4. Equipment Costs'!H:H,'4. Equipment Costs'!C:C,B32,'4. Equipment Costs'!B:B,$C$21)+SUMIFS('5. Subcontracting Costs'!H:H,'5. Subcontracting Costs'!C:C,B32,'5. Subcontracting Costs'!B:B,$C$21)+SUMIFS(' 2-3-6. Travel&amp;Costs of Stay'!N:N,' 2-3-6. Travel&amp;Costs of Stay'!C:C,B32,' 2-3-6. Travel&amp;Costs of Stay'!B:B,$C$21)</f>
        <v>390</v>
      </c>
      <c r="D32" s="22">
        <f>SUMIFS('1. Staff costs'!S:S,'1. Staff costs'!C:C,B32,'1. Staff costs'!B:B,$D$21)+SUMIFS(' 2-3-6. Travel&amp;Costs of Stay'!O:O,' 2-3-6. Travel&amp;Costs of Stay'!C:C,B32,' 2-3-6. Travel&amp;Costs of Stay'!B:B,$D$21)+SUMIFS(' 2-3-6. Travel&amp;Costs of Stay'!P:P,' 2-3-6. Travel&amp;Costs of Stay'!C:C,B32,' 2-3-6. Travel&amp;Costs of Stay'!B:B,$D$21)+SUMIFS('4. Equipment Costs'!H:H,'4. Equipment Costs'!C:C,B32,'4. Equipment Costs'!B:B,$D$21)+SUMIFS('5. Subcontracting Costs'!H:H,'5. Subcontracting Costs'!C:C,B32,'5. Subcontracting Costs'!B:B,$D$21)+SUMIFS(' 2-3-6. Travel&amp;Costs of Stay'!N:N,' 2-3-6. Travel&amp;Costs of Stay'!C:C,B32,' 2-3-6. Travel&amp;Costs of Stay'!B:B,$D$21)</f>
        <v>30198</v>
      </c>
      <c r="E32" s="22">
        <f>SUMIFS('1. Staff costs'!S:S,'1. Staff costs'!C:C,B32,'1. Staff costs'!B:B,$E$21)+SUMIFS(' 2-3-6. Travel&amp;Costs of Stay'!O:O,' 2-3-6. Travel&amp;Costs of Stay'!C:C,B32,' 2-3-6. Travel&amp;Costs of Stay'!B:B,$E$21)+SUMIFS(' 2-3-6. Travel&amp;Costs of Stay'!P:P,' 2-3-6. Travel&amp;Costs of Stay'!C:C,B32,' 2-3-6. Travel&amp;Costs of Stay'!B:B,$E$21)+SUMIFS('4. Equipment Costs'!H:H,'4. Equipment Costs'!C:C,B32,'4. Equipment Costs'!B:B,$E$21)+SUMIFS('5. Subcontracting Costs'!H:H,'5. Subcontracting Costs'!C:C,B32,'5. Subcontracting Costs'!B:B,$E$21)+SUMIFS(' 2-3-6. Travel&amp;Costs of Stay'!N:N,' 2-3-6. Travel&amp;Costs of Stay'!C:C,B32,' 2-3-6. Travel&amp;Costs of Stay'!B:B,$E$21)</f>
        <v>7920</v>
      </c>
      <c r="F32" s="22">
        <f>SUMIFS('1. Staff costs'!S:S,'1. Staff costs'!C:C,B32,'1. Staff costs'!B:B,$F$21)+SUMIFS(' 2-3-6. Travel&amp;Costs of Stay'!O:O,' 2-3-6. Travel&amp;Costs of Stay'!C:C,B32,' 2-3-6. Travel&amp;Costs of Stay'!B:B,$F$21)+SUMIFS(' 2-3-6. Travel&amp;Costs of Stay'!P:P,' 2-3-6. Travel&amp;Costs of Stay'!C:C,B32,' 2-3-6. Travel&amp;Costs of Stay'!B:B,$F$21)+SUMIFS('4. Equipment Costs'!H:H,'4. Equipment Costs'!C:C,B32,'4. Equipment Costs'!B:B,$F$21)+SUMIFS('5. Subcontracting Costs'!H:H,'5. Subcontracting Costs'!C:C,B32,'5. Subcontracting Costs'!B:B,$F$21)+SUMIFS(' 2-3-6. Travel&amp;Costs of Stay'!N:N,' 2-3-6. Travel&amp;Costs of Stay'!C:C,B32,' 2-3-6. Travel&amp;Costs of Stay'!B:B,$F$21)</f>
        <v>0</v>
      </c>
      <c r="G32" s="22">
        <f>SUMIFS('1. Staff costs'!S:S,'1. Staff costs'!C:C,B32,'1. Staff costs'!B:B,$G$21)+SUMIFS(' 2-3-6. Travel&amp;Costs of Stay'!O:O,' 2-3-6. Travel&amp;Costs of Stay'!C:C,B32,' 2-3-6. Travel&amp;Costs of Stay'!B:B,$G$21)+SUMIFS(' 2-3-6. Travel&amp;Costs of Stay'!P:P,' 2-3-6. Travel&amp;Costs of Stay'!C:C,B32,' 2-3-6. Travel&amp;Costs of Stay'!B:B,$G$21)+SUMIFS('4. Equipment Costs'!H:H,'4. Equipment Costs'!C:C,B32,'4. Equipment Costs'!B:B,$G$21)+SUMIFS('5. Subcontracting Costs'!H:H,'5. Subcontracting Costs'!C:C,B32,'5. Subcontracting Costs'!B:B,$G$21)+SUMIFS(' 2-3-6. Travel&amp;Costs of Stay'!N:N,' 2-3-6. Travel&amp;Costs of Stay'!C:C,B32,' 2-3-6. Travel&amp;Costs of Stay'!B:B,$G$21)</f>
        <v>1760</v>
      </c>
      <c r="H32" s="233">
        <f t="shared" si="3"/>
        <v>40268</v>
      </c>
      <c r="I32" s="234"/>
    </row>
    <row r="33" spans="2:9" x14ac:dyDescent="0.35">
      <c r="B33" s="48" t="s">
        <v>57</v>
      </c>
      <c r="C33" s="22">
        <f>SUMIFS('1. Staff costs'!S:S,'1. Staff costs'!C:C,B33,'1. Staff costs'!B:B,$C$21)+SUMIFS(' 2-3-6. Travel&amp;Costs of Stay'!O:O,' 2-3-6. Travel&amp;Costs of Stay'!C:C,B33,' 2-3-6. Travel&amp;Costs of Stay'!B:B,$C$21)+SUMIFS(' 2-3-6. Travel&amp;Costs of Stay'!P:P,' 2-3-6. Travel&amp;Costs of Stay'!C:C,B33,' 2-3-6. Travel&amp;Costs of Stay'!B:B,$C$21)+SUMIFS('4. Equipment Costs'!H:H,'4. Equipment Costs'!C:C,B33,'4. Equipment Costs'!B:B,$C$21)+SUMIFS('5. Subcontracting Costs'!H:H,'5. Subcontracting Costs'!C:C,B33,'5. Subcontracting Costs'!B:B,$C$21)+SUMIFS(' 2-3-6. Travel&amp;Costs of Stay'!N:N,' 2-3-6. Travel&amp;Costs of Stay'!C:C,B33,' 2-3-6. Travel&amp;Costs of Stay'!B:B,$C$21)</f>
        <v>390</v>
      </c>
      <c r="D33" s="22">
        <f>SUMIFS('1. Staff costs'!S:S,'1. Staff costs'!C:C,B33,'1. Staff costs'!B:B,$D$21)+SUMIFS(' 2-3-6. Travel&amp;Costs of Stay'!O:O,' 2-3-6. Travel&amp;Costs of Stay'!C:C,B33,' 2-3-6. Travel&amp;Costs of Stay'!B:B,$D$21)+SUMIFS(' 2-3-6. Travel&amp;Costs of Stay'!P:P,' 2-3-6. Travel&amp;Costs of Stay'!C:C,B33,' 2-3-6. Travel&amp;Costs of Stay'!B:B,$D$21)+SUMIFS('4. Equipment Costs'!H:H,'4. Equipment Costs'!C:C,B33,'4. Equipment Costs'!B:B,$D$21)+SUMIFS('5. Subcontracting Costs'!H:H,'5. Subcontracting Costs'!C:C,B33,'5. Subcontracting Costs'!B:B,$D$21)+SUMIFS(' 2-3-6. Travel&amp;Costs of Stay'!N:N,' 2-3-6. Travel&amp;Costs of Stay'!C:C,B33,' 2-3-6. Travel&amp;Costs of Stay'!B:B,$D$21)</f>
        <v>14124</v>
      </c>
      <c r="E33" s="22">
        <f>SUMIFS('1. Staff costs'!S:S,'1. Staff costs'!C:C,B33,'1. Staff costs'!B:B,$E$21)+SUMIFS(' 2-3-6. Travel&amp;Costs of Stay'!O:O,' 2-3-6. Travel&amp;Costs of Stay'!C:C,B33,' 2-3-6. Travel&amp;Costs of Stay'!B:B,$E$21)+SUMIFS(' 2-3-6. Travel&amp;Costs of Stay'!P:P,' 2-3-6. Travel&amp;Costs of Stay'!C:C,B33,' 2-3-6. Travel&amp;Costs of Stay'!B:B,$E$21)+SUMIFS('4. Equipment Costs'!H:H,'4. Equipment Costs'!C:C,B33,'4. Equipment Costs'!B:B,$E$21)+SUMIFS('5. Subcontracting Costs'!H:H,'5. Subcontracting Costs'!C:C,B33,'5. Subcontracting Costs'!B:B,$E$21)+SUMIFS(' 2-3-6. Travel&amp;Costs of Stay'!N:N,' 2-3-6. Travel&amp;Costs of Stay'!C:C,B33,' 2-3-6. Travel&amp;Costs of Stay'!B:B,$E$21)</f>
        <v>7920</v>
      </c>
      <c r="F33" s="22">
        <f>SUMIFS('1. Staff costs'!S:S,'1. Staff costs'!C:C,B33,'1. Staff costs'!B:B,$F$21)+SUMIFS(' 2-3-6. Travel&amp;Costs of Stay'!O:O,' 2-3-6. Travel&amp;Costs of Stay'!C:C,B33,' 2-3-6. Travel&amp;Costs of Stay'!B:B,$F$21)+SUMIFS(' 2-3-6. Travel&amp;Costs of Stay'!P:P,' 2-3-6. Travel&amp;Costs of Stay'!C:C,B33,' 2-3-6. Travel&amp;Costs of Stay'!B:B,$F$21)+SUMIFS('4. Equipment Costs'!H:H,'4. Equipment Costs'!C:C,B33,'4. Equipment Costs'!B:B,$F$21)+SUMIFS('5. Subcontracting Costs'!H:H,'5. Subcontracting Costs'!C:C,B33,'5. Subcontracting Costs'!B:B,$F$21)+SUMIFS(' 2-3-6. Travel&amp;Costs of Stay'!N:N,' 2-3-6. Travel&amp;Costs of Stay'!C:C,B33,' 2-3-6. Travel&amp;Costs of Stay'!B:B,$F$21)</f>
        <v>6650</v>
      </c>
      <c r="G33" s="22">
        <f>SUMIFS('1. Staff costs'!S:S,'1. Staff costs'!C:C,B33,'1. Staff costs'!B:B,$G$21)+SUMIFS(' 2-3-6. Travel&amp;Costs of Stay'!O:O,' 2-3-6. Travel&amp;Costs of Stay'!C:C,B33,' 2-3-6. Travel&amp;Costs of Stay'!B:B,$G$21)+SUMIFS(' 2-3-6. Travel&amp;Costs of Stay'!P:P,' 2-3-6. Travel&amp;Costs of Stay'!C:C,B33,' 2-3-6. Travel&amp;Costs of Stay'!B:B,$G$21)+SUMIFS('4. Equipment Costs'!H:H,'4. Equipment Costs'!C:C,B33,'4. Equipment Costs'!B:B,$G$21)+SUMIFS('5. Subcontracting Costs'!H:H,'5. Subcontracting Costs'!C:C,B33,'5. Subcontracting Costs'!B:B,$G$21)+SUMIFS(' 2-3-6. Travel&amp;Costs of Stay'!N:N,' 2-3-6. Travel&amp;Costs of Stay'!C:C,B33,' 2-3-6. Travel&amp;Costs of Stay'!B:B,$G$21)</f>
        <v>1760</v>
      </c>
      <c r="H33" s="233">
        <f t="shared" si="3"/>
        <v>30844</v>
      </c>
      <c r="I33" s="234"/>
    </row>
    <row r="34" spans="2:9" x14ac:dyDescent="0.35">
      <c r="B34" s="48" t="s">
        <v>59</v>
      </c>
      <c r="C34" s="22">
        <f>SUMIFS('1. Staff costs'!S:S,'1. Staff costs'!C:C,B34,'1. Staff costs'!B:B,$C$21)+SUMIFS(' 2-3-6. Travel&amp;Costs of Stay'!O:O,' 2-3-6. Travel&amp;Costs of Stay'!C:C,B34,' 2-3-6. Travel&amp;Costs of Stay'!B:B,$C$21)+SUMIFS(' 2-3-6. Travel&amp;Costs of Stay'!P:P,' 2-3-6. Travel&amp;Costs of Stay'!C:C,B34,' 2-3-6. Travel&amp;Costs of Stay'!B:B,$C$21)+SUMIFS('4. Equipment Costs'!H:H,'4. Equipment Costs'!C:C,B34,'4. Equipment Costs'!B:B,$C$21)+SUMIFS('5. Subcontracting Costs'!H:H,'5. Subcontracting Costs'!C:C,B34,'5. Subcontracting Costs'!B:B,$C$21)+SUMIFS(' 2-3-6. Travel&amp;Costs of Stay'!N:N,' 2-3-6. Travel&amp;Costs of Stay'!C:C,B34,' 2-3-6. Travel&amp;Costs of Stay'!B:B,$C$21)</f>
        <v>780</v>
      </c>
      <c r="D34" s="22">
        <f>SUMIFS('1. Staff costs'!S:S,'1. Staff costs'!C:C,B34,'1. Staff costs'!B:B,$D$21)+SUMIFS(' 2-3-6. Travel&amp;Costs of Stay'!O:O,' 2-3-6. Travel&amp;Costs of Stay'!C:C,B34,' 2-3-6. Travel&amp;Costs of Stay'!B:B,$D$21)+SUMIFS(' 2-3-6. Travel&amp;Costs of Stay'!P:P,' 2-3-6. Travel&amp;Costs of Stay'!C:C,B34,' 2-3-6. Travel&amp;Costs of Stay'!B:B,$D$21)+SUMIFS('4. Equipment Costs'!H:H,'4. Equipment Costs'!C:C,B34,'4. Equipment Costs'!B:B,$D$21)+SUMIFS('5. Subcontracting Costs'!H:H,'5. Subcontracting Costs'!C:C,B34,'5. Subcontracting Costs'!B:B,$D$21)+SUMIFS(' 2-3-6. Travel&amp;Costs of Stay'!N:N,' 2-3-6. Travel&amp;Costs of Stay'!C:C,B34,' 2-3-6. Travel&amp;Costs of Stay'!B:B,$D$21)</f>
        <v>35091</v>
      </c>
      <c r="E34" s="22">
        <f>SUMIFS('1. Staff costs'!S:S,'1. Staff costs'!C:C,B34,'1. Staff costs'!B:B,$E$21)+SUMIFS(' 2-3-6. Travel&amp;Costs of Stay'!O:O,' 2-3-6. Travel&amp;Costs of Stay'!C:C,B34,' 2-3-6. Travel&amp;Costs of Stay'!B:B,$E$21)+SUMIFS(' 2-3-6. Travel&amp;Costs of Stay'!P:P,' 2-3-6. Travel&amp;Costs of Stay'!C:C,B34,' 2-3-6. Travel&amp;Costs of Stay'!B:B,$E$21)+SUMIFS('4. Equipment Costs'!H:H,'4. Equipment Costs'!C:C,B34,'4. Equipment Costs'!B:B,$E$21)+SUMIFS('5. Subcontracting Costs'!H:H,'5. Subcontracting Costs'!C:C,B34,'5. Subcontracting Costs'!B:B,$E$21)+SUMIFS(' 2-3-6. Travel&amp;Costs of Stay'!N:N,' 2-3-6. Travel&amp;Costs of Stay'!C:C,B34,' 2-3-6. Travel&amp;Costs of Stay'!B:B,$E$21)</f>
        <v>23306</v>
      </c>
      <c r="F34" s="22">
        <f>SUMIFS('1. Staff costs'!S:S,'1. Staff costs'!C:C,B34,'1. Staff costs'!B:B,$F$21)+SUMIFS(' 2-3-6. Travel&amp;Costs of Stay'!O:O,' 2-3-6. Travel&amp;Costs of Stay'!C:C,B34,' 2-3-6. Travel&amp;Costs of Stay'!B:B,$F$21)+SUMIFS(' 2-3-6. Travel&amp;Costs of Stay'!P:P,' 2-3-6. Travel&amp;Costs of Stay'!C:C,B34,' 2-3-6. Travel&amp;Costs of Stay'!B:B,$F$21)+SUMIFS('4. Equipment Costs'!H:H,'4. Equipment Costs'!C:C,B34,'4. Equipment Costs'!B:B,$F$21)+SUMIFS('5. Subcontracting Costs'!H:H,'5. Subcontracting Costs'!C:C,B34,'5. Subcontracting Costs'!B:B,$F$21)+SUMIFS(' 2-3-6. Travel&amp;Costs of Stay'!N:N,' 2-3-6. Travel&amp;Costs of Stay'!C:C,B34,' 2-3-6. Travel&amp;Costs of Stay'!B:B,$F$21)</f>
        <v>0</v>
      </c>
      <c r="G34" s="22">
        <f>SUMIFS('1. Staff costs'!S:S,'1. Staff costs'!C:C,B34,'1. Staff costs'!B:B,$G$21)+SUMIFS(' 2-3-6. Travel&amp;Costs of Stay'!O:O,' 2-3-6. Travel&amp;Costs of Stay'!C:C,B34,' 2-3-6. Travel&amp;Costs of Stay'!B:B,$G$21)+SUMIFS(' 2-3-6. Travel&amp;Costs of Stay'!P:P,' 2-3-6. Travel&amp;Costs of Stay'!C:C,B34,' 2-3-6. Travel&amp;Costs of Stay'!B:B,$G$21)+SUMIFS('4. Equipment Costs'!H:H,'4. Equipment Costs'!C:C,B34,'4. Equipment Costs'!B:B,$G$21)+SUMIFS('5. Subcontracting Costs'!H:H,'5. Subcontracting Costs'!C:C,B34,'5. Subcontracting Costs'!B:B,$G$21)+SUMIFS(' 2-3-6. Travel&amp;Costs of Stay'!N:N,' 2-3-6. Travel&amp;Costs of Stay'!C:C,B34,' 2-3-6. Travel&amp;Costs of Stay'!B:B,$G$21)</f>
        <v>6560</v>
      </c>
      <c r="H34" s="233">
        <f t="shared" si="3"/>
        <v>65737</v>
      </c>
      <c r="I34" s="234"/>
    </row>
    <row r="35" spans="2:9" x14ac:dyDescent="0.35">
      <c r="B35" s="48" t="s">
        <v>62</v>
      </c>
      <c r="C35" s="22">
        <f>SUMIFS('1. Staff costs'!S:S,'1. Staff costs'!C:C,B35,'1. Staff costs'!B:B,$C$21)+SUMIFS(' 2-3-6. Travel&amp;Costs of Stay'!O:O,' 2-3-6. Travel&amp;Costs of Stay'!C:C,B35,' 2-3-6. Travel&amp;Costs of Stay'!B:B,$C$21)+SUMIFS(' 2-3-6. Travel&amp;Costs of Stay'!P:P,' 2-3-6. Travel&amp;Costs of Stay'!C:C,B35,' 2-3-6. Travel&amp;Costs of Stay'!B:B,$C$21)+SUMIFS('4. Equipment Costs'!H:H,'4. Equipment Costs'!C:C,B35,'4. Equipment Costs'!B:B,$C$21)+SUMIFS('5. Subcontracting Costs'!H:H,'5. Subcontracting Costs'!C:C,B35,'5. Subcontracting Costs'!B:B,$C$21)+SUMIFS(' 2-3-6. Travel&amp;Costs of Stay'!N:N,' 2-3-6. Travel&amp;Costs of Stay'!C:C,B35,' 2-3-6. Travel&amp;Costs of Stay'!B:B,$C$21)</f>
        <v>390</v>
      </c>
      <c r="D35" s="22">
        <f>SUMIFS('1. Staff costs'!S:S,'1. Staff costs'!C:C,B35,'1. Staff costs'!B:B,$D$21)+SUMIFS(' 2-3-6. Travel&amp;Costs of Stay'!O:O,' 2-3-6. Travel&amp;Costs of Stay'!C:C,B35,' 2-3-6. Travel&amp;Costs of Stay'!B:B,$D$21)+SUMIFS(' 2-3-6. Travel&amp;Costs of Stay'!P:P,' 2-3-6. Travel&amp;Costs of Stay'!C:C,B35,' 2-3-6. Travel&amp;Costs of Stay'!B:B,$D$21)+SUMIFS('4. Equipment Costs'!H:H,'4. Equipment Costs'!C:C,B35,'4. Equipment Costs'!B:B,$D$21)+SUMIFS('5. Subcontracting Costs'!H:H,'5. Subcontracting Costs'!C:C,B35,'5. Subcontracting Costs'!B:B,$D$21)+SUMIFS(' 2-3-6. Travel&amp;Costs of Stay'!N:N,' 2-3-6. Travel&amp;Costs of Stay'!C:C,B35,' 2-3-6. Travel&amp;Costs of Stay'!B:B,$D$21)</f>
        <v>234</v>
      </c>
      <c r="E35" s="22">
        <f>SUMIFS('1. Staff costs'!S:S,'1. Staff costs'!C:C,B35,'1. Staff costs'!B:B,$E$21)+SUMIFS(' 2-3-6. Travel&amp;Costs of Stay'!O:O,' 2-3-6. Travel&amp;Costs of Stay'!C:C,B35,' 2-3-6. Travel&amp;Costs of Stay'!B:B,$E$21)+SUMIFS(' 2-3-6. Travel&amp;Costs of Stay'!P:P,' 2-3-6. Travel&amp;Costs of Stay'!C:C,B35,' 2-3-6. Travel&amp;Costs of Stay'!B:B,$E$21)+SUMIFS('4. Equipment Costs'!H:H,'4. Equipment Costs'!C:C,B35,'4. Equipment Costs'!B:B,$E$21)+SUMIFS('5. Subcontracting Costs'!H:H,'5. Subcontracting Costs'!C:C,B35,'5. Subcontracting Costs'!B:B,$E$21)+SUMIFS(' 2-3-6. Travel&amp;Costs of Stay'!N:N,' 2-3-6. Travel&amp;Costs of Stay'!C:C,B35,' 2-3-6. Travel&amp;Costs of Stay'!B:B,$E$21)</f>
        <v>234</v>
      </c>
      <c r="F35" s="22">
        <f>SUMIFS('1. Staff costs'!S:S,'1. Staff costs'!C:C,B35,'1. Staff costs'!B:B,$F$21)+SUMIFS(' 2-3-6. Travel&amp;Costs of Stay'!O:O,' 2-3-6. Travel&amp;Costs of Stay'!C:C,B35,' 2-3-6. Travel&amp;Costs of Stay'!B:B,$F$21)+SUMIFS(' 2-3-6. Travel&amp;Costs of Stay'!P:P,' 2-3-6. Travel&amp;Costs of Stay'!C:C,B35,' 2-3-6. Travel&amp;Costs of Stay'!B:B,$F$21)+SUMIFS('4. Equipment Costs'!H:H,'4. Equipment Costs'!C:C,B35,'4. Equipment Costs'!B:B,$F$21)+SUMIFS('5. Subcontracting Costs'!H:H,'5. Subcontracting Costs'!C:C,B35,'5. Subcontracting Costs'!B:B,$F$21)+SUMIFS(' 2-3-6. Travel&amp;Costs of Stay'!N:N,' 2-3-6. Travel&amp;Costs of Stay'!C:C,B35,' 2-3-6. Travel&amp;Costs of Stay'!B:B,$F$21)</f>
        <v>0</v>
      </c>
      <c r="G35" s="22">
        <f>SUMIFS('1. Staff costs'!S:S,'1. Staff costs'!C:C,B35,'1. Staff costs'!B:B,$G$21)+SUMIFS(' 2-3-6. Travel&amp;Costs of Stay'!O:O,' 2-3-6. Travel&amp;Costs of Stay'!C:C,B35,' 2-3-6. Travel&amp;Costs of Stay'!B:B,$G$21)+SUMIFS(' 2-3-6. Travel&amp;Costs of Stay'!P:P,' 2-3-6. Travel&amp;Costs of Stay'!C:C,B35,' 2-3-6. Travel&amp;Costs of Stay'!B:B,$G$21)+SUMIFS('4. Equipment Costs'!H:H,'4. Equipment Costs'!C:C,B35,'4. Equipment Costs'!B:B,$G$21)+SUMIFS('5. Subcontracting Costs'!H:H,'5. Subcontracting Costs'!C:C,B35,'5. Subcontracting Costs'!B:B,$G$21)+SUMIFS(' 2-3-6. Travel&amp;Costs of Stay'!N:N,' 2-3-6. Travel&amp;Costs of Stay'!C:C,B35,' 2-3-6. Travel&amp;Costs of Stay'!B:B,$G$21)</f>
        <v>0</v>
      </c>
      <c r="H35" s="233">
        <f t="shared" ref="H35:H76" si="4">SUM(C35:G35)</f>
        <v>858</v>
      </c>
      <c r="I35" s="234"/>
    </row>
    <row r="36" spans="2:9" x14ac:dyDescent="0.35">
      <c r="B36" s="48" t="s">
        <v>63</v>
      </c>
      <c r="C36" s="22">
        <f>SUMIFS('1. Staff costs'!S:S,'1. Staff costs'!C:C,B36,'1. Staff costs'!B:B,$C$21)+SUMIFS(' 2-3-6. Travel&amp;Costs of Stay'!O:O,' 2-3-6. Travel&amp;Costs of Stay'!C:C,B36,' 2-3-6. Travel&amp;Costs of Stay'!B:B,$C$21)+SUMIFS(' 2-3-6. Travel&amp;Costs of Stay'!P:P,' 2-3-6. Travel&amp;Costs of Stay'!C:C,B36,' 2-3-6. Travel&amp;Costs of Stay'!B:B,$C$21)+SUMIFS('4. Equipment Costs'!H:H,'4. Equipment Costs'!C:C,B36,'4. Equipment Costs'!B:B,$C$21)+SUMIFS('5. Subcontracting Costs'!H:H,'5. Subcontracting Costs'!C:C,B36,'5. Subcontracting Costs'!B:B,$C$21)+SUMIFS(' 2-3-6. Travel&amp;Costs of Stay'!N:N,' 2-3-6. Travel&amp;Costs of Stay'!C:C,B36,' 2-3-6. Travel&amp;Costs of Stay'!B:B,$C$21)</f>
        <v>0</v>
      </c>
      <c r="D36" s="22">
        <f>SUMIFS('1. Staff costs'!S:S,'1. Staff costs'!C:C,B36,'1. Staff costs'!B:B,$D$21)+SUMIFS(' 2-3-6. Travel&amp;Costs of Stay'!O:O,' 2-3-6. Travel&amp;Costs of Stay'!C:C,B36,' 2-3-6. Travel&amp;Costs of Stay'!B:B,$D$21)+SUMIFS(' 2-3-6. Travel&amp;Costs of Stay'!P:P,' 2-3-6. Travel&amp;Costs of Stay'!C:C,B36,' 2-3-6. Travel&amp;Costs of Stay'!B:B,$D$21)+SUMIFS('4. Equipment Costs'!H:H,'4. Equipment Costs'!C:C,B36,'4. Equipment Costs'!B:B,$D$21)+SUMIFS('5. Subcontracting Costs'!H:H,'5. Subcontracting Costs'!C:C,B36,'5. Subcontracting Costs'!B:B,$D$21)+SUMIFS(' 2-3-6. Travel&amp;Costs of Stay'!N:N,' 2-3-6. Travel&amp;Costs of Stay'!C:C,B36,' 2-3-6. Travel&amp;Costs of Stay'!B:B,$D$21)</f>
        <v>0</v>
      </c>
      <c r="E36" s="22">
        <f>SUMIFS('1. Staff costs'!S:S,'1. Staff costs'!C:C,B36,'1. Staff costs'!B:B,$E$21)+SUMIFS(' 2-3-6. Travel&amp;Costs of Stay'!O:O,' 2-3-6. Travel&amp;Costs of Stay'!C:C,B36,' 2-3-6. Travel&amp;Costs of Stay'!B:B,$E$21)+SUMIFS(' 2-3-6. Travel&amp;Costs of Stay'!P:P,' 2-3-6. Travel&amp;Costs of Stay'!C:C,B36,' 2-3-6. Travel&amp;Costs of Stay'!B:B,$E$21)+SUMIFS('4. Equipment Costs'!H:H,'4. Equipment Costs'!C:C,B36,'4. Equipment Costs'!B:B,$E$21)+SUMIFS('5. Subcontracting Costs'!H:H,'5. Subcontracting Costs'!C:C,B36,'5. Subcontracting Costs'!B:B,$E$21)+SUMIFS(' 2-3-6. Travel&amp;Costs of Stay'!N:N,' 2-3-6. Travel&amp;Costs of Stay'!C:C,B36,' 2-3-6. Travel&amp;Costs of Stay'!B:B,$E$21)</f>
        <v>0</v>
      </c>
      <c r="F36" s="22">
        <f>SUMIFS('1. Staff costs'!S:S,'1. Staff costs'!C:C,B36,'1. Staff costs'!B:B,$F$21)+SUMIFS(' 2-3-6. Travel&amp;Costs of Stay'!O:O,' 2-3-6. Travel&amp;Costs of Stay'!C:C,B36,' 2-3-6. Travel&amp;Costs of Stay'!B:B,$F$21)+SUMIFS(' 2-3-6. Travel&amp;Costs of Stay'!P:P,' 2-3-6. Travel&amp;Costs of Stay'!C:C,B36,' 2-3-6. Travel&amp;Costs of Stay'!B:B,$F$21)+SUMIFS('4. Equipment Costs'!H:H,'4. Equipment Costs'!C:C,B36,'4. Equipment Costs'!B:B,$F$21)+SUMIFS('5. Subcontracting Costs'!H:H,'5. Subcontracting Costs'!C:C,B36,'5. Subcontracting Costs'!B:B,$F$21)+SUMIFS(' 2-3-6. Travel&amp;Costs of Stay'!N:N,' 2-3-6. Travel&amp;Costs of Stay'!C:C,B36,' 2-3-6. Travel&amp;Costs of Stay'!B:B,$F$21)</f>
        <v>0</v>
      </c>
      <c r="G36" s="22">
        <f>SUMIFS('1. Staff costs'!S:S,'1. Staff costs'!C:C,B36,'1. Staff costs'!B:B,$G$21)+SUMIFS(' 2-3-6. Travel&amp;Costs of Stay'!O:O,' 2-3-6. Travel&amp;Costs of Stay'!C:C,B36,' 2-3-6. Travel&amp;Costs of Stay'!B:B,$G$21)+SUMIFS(' 2-3-6. Travel&amp;Costs of Stay'!P:P,' 2-3-6. Travel&amp;Costs of Stay'!C:C,B36,' 2-3-6. Travel&amp;Costs of Stay'!B:B,$G$21)+SUMIFS('4. Equipment Costs'!H:H,'4. Equipment Costs'!C:C,B36,'4. Equipment Costs'!B:B,$G$21)+SUMIFS('5. Subcontracting Costs'!H:H,'5. Subcontracting Costs'!C:C,B36,'5. Subcontracting Costs'!B:B,$G$21)+SUMIFS(' 2-3-6. Travel&amp;Costs of Stay'!N:N,' 2-3-6. Travel&amp;Costs of Stay'!C:C,B36,' 2-3-6. Travel&amp;Costs of Stay'!B:B,$G$21)</f>
        <v>0</v>
      </c>
      <c r="H36" s="233">
        <f t="shared" si="4"/>
        <v>0</v>
      </c>
      <c r="I36" s="234"/>
    </row>
    <row r="37" spans="2:9" x14ac:dyDescent="0.35">
      <c r="B37" s="48" t="s">
        <v>64</v>
      </c>
      <c r="C37" s="22">
        <f>SUMIFS('1. Staff costs'!S:S,'1. Staff costs'!C:C,B37,'1. Staff costs'!B:B,$C$21)+SUMIFS(' 2-3-6. Travel&amp;Costs of Stay'!O:O,' 2-3-6. Travel&amp;Costs of Stay'!C:C,B37,' 2-3-6. Travel&amp;Costs of Stay'!B:B,$C$21)+SUMIFS(' 2-3-6. Travel&amp;Costs of Stay'!P:P,' 2-3-6. Travel&amp;Costs of Stay'!C:C,B37,' 2-3-6. Travel&amp;Costs of Stay'!B:B,$C$21)+SUMIFS('4. Equipment Costs'!H:H,'4. Equipment Costs'!C:C,B37,'4. Equipment Costs'!B:B,$C$21)+SUMIFS('5. Subcontracting Costs'!H:H,'5. Subcontracting Costs'!C:C,B37,'5. Subcontracting Costs'!B:B,$C$21)+SUMIFS(' 2-3-6. Travel&amp;Costs of Stay'!N:N,' 2-3-6. Travel&amp;Costs of Stay'!C:C,B37,' 2-3-6. Travel&amp;Costs of Stay'!B:B,$C$21)</f>
        <v>0</v>
      </c>
      <c r="D37" s="22">
        <f>SUMIFS('1. Staff costs'!S:S,'1. Staff costs'!C:C,B37,'1. Staff costs'!B:B,$D$21)+SUMIFS(' 2-3-6. Travel&amp;Costs of Stay'!O:O,' 2-3-6. Travel&amp;Costs of Stay'!C:C,B37,' 2-3-6. Travel&amp;Costs of Stay'!B:B,$D$21)+SUMIFS(' 2-3-6. Travel&amp;Costs of Stay'!P:P,' 2-3-6. Travel&amp;Costs of Stay'!C:C,B37,' 2-3-6. Travel&amp;Costs of Stay'!B:B,$D$21)+SUMIFS('4. Equipment Costs'!H:H,'4. Equipment Costs'!C:C,B37,'4. Equipment Costs'!B:B,$D$21)+SUMIFS('5. Subcontracting Costs'!H:H,'5. Subcontracting Costs'!C:C,B37,'5. Subcontracting Costs'!B:B,$D$21)+SUMIFS(' 2-3-6. Travel&amp;Costs of Stay'!N:N,' 2-3-6. Travel&amp;Costs of Stay'!C:C,B37,' 2-3-6. Travel&amp;Costs of Stay'!B:B,$D$21)</f>
        <v>0</v>
      </c>
      <c r="E37" s="22">
        <f>SUMIFS('1. Staff costs'!S:S,'1. Staff costs'!C:C,B37,'1. Staff costs'!B:B,$E$21)+SUMIFS(' 2-3-6. Travel&amp;Costs of Stay'!O:O,' 2-3-6. Travel&amp;Costs of Stay'!C:C,B37,' 2-3-6. Travel&amp;Costs of Stay'!B:B,$E$21)+SUMIFS(' 2-3-6. Travel&amp;Costs of Stay'!P:P,' 2-3-6. Travel&amp;Costs of Stay'!C:C,B37,' 2-3-6. Travel&amp;Costs of Stay'!B:B,$E$21)+SUMIFS('4. Equipment Costs'!H:H,'4. Equipment Costs'!C:C,B37,'4. Equipment Costs'!B:B,$E$21)+SUMIFS('5. Subcontracting Costs'!H:H,'5. Subcontracting Costs'!C:C,B37,'5. Subcontracting Costs'!B:B,$E$21)+SUMIFS(' 2-3-6. Travel&amp;Costs of Stay'!N:N,' 2-3-6. Travel&amp;Costs of Stay'!C:C,B37,' 2-3-6. Travel&amp;Costs of Stay'!B:B,$E$21)</f>
        <v>0</v>
      </c>
      <c r="F37" s="22">
        <f>SUMIFS('1. Staff costs'!S:S,'1. Staff costs'!C:C,B37,'1. Staff costs'!B:B,$F$21)+SUMIFS(' 2-3-6. Travel&amp;Costs of Stay'!O:O,' 2-3-6. Travel&amp;Costs of Stay'!C:C,B37,' 2-3-6. Travel&amp;Costs of Stay'!B:B,$F$21)+SUMIFS(' 2-3-6. Travel&amp;Costs of Stay'!P:P,' 2-3-6. Travel&amp;Costs of Stay'!C:C,B37,' 2-3-6. Travel&amp;Costs of Stay'!B:B,$F$21)+SUMIFS('4. Equipment Costs'!H:H,'4. Equipment Costs'!C:C,B37,'4. Equipment Costs'!B:B,$F$21)+SUMIFS('5. Subcontracting Costs'!H:H,'5. Subcontracting Costs'!C:C,B37,'5. Subcontracting Costs'!B:B,$F$21)+SUMIFS(' 2-3-6. Travel&amp;Costs of Stay'!N:N,' 2-3-6. Travel&amp;Costs of Stay'!C:C,B37,' 2-3-6. Travel&amp;Costs of Stay'!B:B,$F$21)</f>
        <v>0</v>
      </c>
      <c r="G37" s="22">
        <f>SUMIFS('1. Staff costs'!S:S,'1. Staff costs'!C:C,B37,'1. Staff costs'!B:B,$G$21)+SUMIFS(' 2-3-6. Travel&amp;Costs of Stay'!O:O,' 2-3-6. Travel&amp;Costs of Stay'!C:C,B37,' 2-3-6. Travel&amp;Costs of Stay'!B:B,$G$21)+SUMIFS(' 2-3-6. Travel&amp;Costs of Stay'!P:P,' 2-3-6. Travel&amp;Costs of Stay'!C:C,B37,' 2-3-6. Travel&amp;Costs of Stay'!B:B,$G$21)+SUMIFS('4. Equipment Costs'!H:H,'4. Equipment Costs'!C:C,B37,'4. Equipment Costs'!B:B,$G$21)+SUMIFS('5. Subcontracting Costs'!H:H,'5. Subcontracting Costs'!C:C,B37,'5. Subcontracting Costs'!B:B,$G$21)+SUMIFS(' 2-3-6. Travel&amp;Costs of Stay'!N:N,' 2-3-6. Travel&amp;Costs of Stay'!C:C,B37,' 2-3-6. Travel&amp;Costs of Stay'!B:B,$G$21)</f>
        <v>0</v>
      </c>
      <c r="H37" s="233">
        <f t="shared" si="4"/>
        <v>0</v>
      </c>
      <c r="I37" s="234"/>
    </row>
    <row r="38" spans="2:9" x14ac:dyDescent="0.35">
      <c r="B38" s="48" t="s">
        <v>65</v>
      </c>
      <c r="C38" s="22">
        <f>SUMIFS('1. Staff costs'!S:S,'1. Staff costs'!C:C,B38,'1. Staff costs'!B:B,$C$21)+SUMIFS(' 2-3-6. Travel&amp;Costs of Stay'!O:O,' 2-3-6. Travel&amp;Costs of Stay'!C:C,B38,' 2-3-6. Travel&amp;Costs of Stay'!B:B,$C$21)+SUMIFS(' 2-3-6. Travel&amp;Costs of Stay'!P:P,' 2-3-6. Travel&amp;Costs of Stay'!C:C,B38,' 2-3-6. Travel&amp;Costs of Stay'!B:B,$C$21)+SUMIFS('4. Equipment Costs'!H:H,'4. Equipment Costs'!C:C,B38,'4. Equipment Costs'!B:B,$C$21)+SUMIFS('5. Subcontracting Costs'!H:H,'5. Subcontracting Costs'!C:C,B38,'5. Subcontracting Costs'!B:B,$C$21)+SUMIFS(' 2-3-6. Travel&amp;Costs of Stay'!N:N,' 2-3-6. Travel&amp;Costs of Stay'!C:C,B38,' 2-3-6. Travel&amp;Costs of Stay'!B:B,$C$21)</f>
        <v>0</v>
      </c>
      <c r="D38" s="22">
        <f>SUMIFS('1. Staff costs'!S:S,'1. Staff costs'!C:C,B38,'1. Staff costs'!B:B,$D$21)+SUMIFS(' 2-3-6. Travel&amp;Costs of Stay'!O:O,' 2-3-6. Travel&amp;Costs of Stay'!C:C,B38,' 2-3-6. Travel&amp;Costs of Stay'!B:B,$D$21)+SUMIFS(' 2-3-6. Travel&amp;Costs of Stay'!P:P,' 2-3-6. Travel&amp;Costs of Stay'!C:C,B38,' 2-3-6. Travel&amp;Costs of Stay'!B:B,$D$21)+SUMIFS('4. Equipment Costs'!H:H,'4. Equipment Costs'!C:C,B38,'4. Equipment Costs'!B:B,$D$21)+SUMIFS('5. Subcontracting Costs'!H:H,'5. Subcontracting Costs'!C:C,B38,'5. Subcontracting Costs'!B:B,$D$21)+SUMIFS(' 2-3-6. Travel&amp;Costs of Stay'!N:N,' 2-3-6. Travel&amp;Costs of Stay'!C:C,B38,' 2-3-6. Travel&amp;Costs of Stay'!B:B,$D$21)</f>
        <v>0</v>
      </c>
      <c r="E38" s="22">
        <f>SUMIFS('1. Staff costs'!S:S,'1. Staff costs'!C:C,B38,'1. Staff costs'!B:B,$E$21)+SUMIFS(' 2-3-6. Travel&amp;Costs of Stay'!O:O,' 2-3-6. Travel&amp;Costs of Stay'!C:C,B38,' 2-3-6. Travel&amp;Costs of Stay'!B:B,$E$21)+SUMIFS(' 2-3-6. Travel&amp;Costs of Stay'!P:P,' 2-3-6. Travel&amp;Costs of Stay'!C:C,B38,' 2-3-6. Travel&amp;Costs of Stay'!B:B,$E$21)+SUMIFS('4. Equipment Costs'!H:H,'4. Equipment Costs'!C:C,B38,'4. Equipment Costs'!B:B,$E$21)+SUMIFS('5. Subcontracting Costs'!H:H,'5. Subcontracting Costs'!C:C,B38,'5. Subcontracting Costs'!B:B,$E$21)+SUMIFS(' 2-3-6. Travel&amp;Costs of Stay'!N:N,' 2-3-6. Travel&amp;Costs of Stay'!C:C,B38,' 2-3-6. Travel&amp;Costs of Stay'!B:B,$E$21)</f>
        <v>0</v>
      </c>
      <c r="F38" s="22">
        <f>SUMIFS('1. Staff costs'!S:S,'1. Staff costs'!C:C,B38,'1. Staff costs'!B:B,$F$21)+SUMIFS(' 2-3-6. Travel&amp;Costs of Stay'!O:O,' 2-3-6. Travel&amp;Costs of Stay'!C:C,B38,' 2-3-6. Travel&amp;Costs of Stay'!B:B,$F$21)+SUMIFS(' 2-3-6. Travel&amp;Costs of Stay'!P:P,' 2-3-6. Travel&amp;Costs of Stay'!C:C,B38,' 2-3-6. Travel&amp;Costs of Stay'!B:B,$F$21)+SUMIFS('4. Equipment Costs'!H:H,'4. Equipment Costs'!C:C,B38,'4. Equipment Costs'!B:B,$F$21)+SUMIFS('5. Subcontracting Costs'!H:H,'5. Subcontracting Costs'!C:C,B38,'5. Subcontracting Costs'!B:B,$F$21)+SUMIFS(' 2-3-6. Travel&amp;Costs of Stay'!N:N,' 2-3-6. Travel&amp;Costs of Stay'!C:C,B38,' 2-3-6. Travel&amp;Costs of Stay'!B:B,$F$21)</f>
        <v>0</v>
      </c>
      <c r="G38" s="22">
        <f>SUMIFS('1. Staff costs'!S:S,'1. Staff costs'!C:C,B38,'1. Staff costs'!B:B,$G$21)+SUMIFS(' 2-3-6. Travel&amp;Costs of Stay'!O:O,' 2-3-6. Travel&amp;Costs of Stay'!C:C,B38,' 2-3-6. Travel&amp;Costs of Stay'!B:B,$G$21)+SUMIFS(' 2-3-6. Travel&amp;Costs of Stay'!P:P,' 2-3-6. Travel&amp;Costs of Stay'!C:C,B38,' 2-3-6. Travel&amp;Costs of Stay'!B:B,$G$21)+SUMIFS('4. Equipment Costs'!H:H,'4. Equipment Costs'!C:C,B38,'4. Equipment Costs'!B:B,$G$21)+SUMIFS('5. Subcontracting Costs'!H:H,'5. Subcontracting Costs'!C:C,B38,'5. Subcontracting Costs'!B:B,$G$21)+SUMIFS(' 2-3-6. Travel&amp;Costs of Stay'!N:N,' 2-3-6. Travel&amp;Costs of Stay'!C:C,B38,' 2-3-6. Travel&amp;Costs of Stay'!B:B,$G$21)</f>
        <v>0</v>
      </c>
      <c r="H38" s="233">
        <f t="shared" si="4"/>
        <v>0</v>
      </c>
      <c r="I38" s="234"/>
    </row>
    <row r="39" spans="2:9" x14ac:dyDescent="0.35">
      <c r="B39" s="48" t="s">
        <v>66</v>
      </c>
      <c r="C39" s="22">
        <f>SUMIFS('1. Staff costs'!S:S,'1. Staff costs'!C:C,B39,'1. Staff costs'!B:B,$C$21)+SUMIFS(' 2-3-6. Travel&amp;Costs of Stay'!O:O,' 2-3-6. Travel&amp;Costs of Stay'!C:C,B39,' 2-3-6. Travel&amp;Costs of Stay'!B:B,$C$21)+SUMIFS(' 2-3-6. Travel&amp;Costs of Stay'!P:P,' 2-3-6. Travel&amp;Costs of Stay'!C:C,B39,' 2-3-6. Travel&amp;Costs of Stay'!B:B,$C$21)+SUMIFS('4. Equipment Costs'!H:H,'4. Equipment Costs'!C:C,B39,'4. Equipment Costs'!B:B,$C$21)+SUMIFS('5. Subcontracting Costs'!H:H,'5. Subcontracting Costs'!C:C,B39,'5. Subcontracting Costs'!B:B,$C$21)+SUMIFS(' 2-3-6. Travel&amp;Costs of Stay'!N:N,' 2-3-6. Travel&amp;Costs of Stay'!C:C,B39,' 2-3-6. Travel&amp;Costs of Stay'!B:B,$C$21)</f>
        <v>0</v>
      </c>
      <c r="D39" s="22">
        <f>SUMIFS('1. Staff costs'!S:S,'1. Staff costs'!C:C,B39,'1. Staff costs'!B:B,$D$21)+SUMIFS(' 2-3-6. Travel&amp;Costs of Stay'!O:O,' 2-3-6. Travel&amp;Costs of Stay'!C:C,B39,' 2-3-6. Travel&amp;Costs of Stay'!B:B,$D$21)+SUMIFS(' 2-3-6. Travel&amp;Costs of Stay'!P:P,' 2-3-6. Travel&amp;Costs of Stay'!C:C,B39,' 2-3-6. Travel&amp;Costs of Stay'!B:B,$D$21)+SUMIFS('4. Equipment Costs'!H:H,'4. Equipment Costs'!C:C,B39,'4. Equipment Costs'!B:B,$D$21)+SUMIFS('5. Subcontracting Costs'!H:H,'5. Subcontracting Costs'!C:C,B39,'5. Subcontracting Costs'!B:B,$D$21)+SUMIFS(' 2-3-6. Travel&amp;Costs of Stay'!N:N,' 2-3-6. Travel&amp;Costs of Stay'!C:C,B39,' 2-3-6. Travel&amp;Costs of Stay'!B:B,$D$21)</f>
        <v>0</v>
      </c>
      <c r="E39" s="22">
        <f>SUMIFS('1. Staff costs'!S:S,'1. Staff costs'!C:C,B39,'1. Staff costs'!B:B,$E$21)+SUMIFS(' 2-3-6. Travel&amp;Costs of Stay'!O:O,' 2-3-6. Travel&amp;Costs of Stay'!C:C,B39,' 2-3-6. Travel&amp;Costs of Stay'!B:B,$E$21)+SUMIFS(' 2-3-6. Travel&amp;Costs of Stay'!P:P,' 2-3-6. Travel&amp;Costs of Stay'!C:C,B39,' 2-3-6. Travel&amp;Costs of Stay'!B:B,$E$21)+SUMIFS('4. Equipment Costs'!H:H,'4. Equipment Costs'!C:C,B39,'4. Equipment Costs'!B:B,$E$21)+SUMIFS('5. Subcontracting Costs'!H:H,'5. Subcontracting Costs'!C:C,B39,'5. Subcontracting Costs'!B:B,$E$21)+SUMIFS(' 2-3-6. Travel&amp;Costs of Stay'!N:N,' 2-3-6. Travel&amp;Costs of Stay'!C:C,B39,' 2-3-6. Travel&amp;Costs of Stay'!B:B,$E$21)</f>
        <v>0</v>
      </c>
      <c r="F39" s="22">
        <f>SUMIFS('1. Staff costs'!S:S,'1. Staff costs'!C:C,B39,'1. Staff costs'!B:B,$F$21)+SUMIFS(' 2-3-6. Travel&amp;Costs of Stay'!O:O,' 2-3-6. Travel&amp;Costs of Stay'!C:C,B39,' 2-3-6. Travel&amp;Costs of Stay'!B:B,$F$21)+SUMIFS(' 2-3-6. Travel&amp;Costs of Stay'!P:P,' 2-3-6. Travel&amp;Costs of Stay'!C:C,B39,' 2-3-6. Travel&amp;Costs of Stay'!B:B,$F$21)+SUMIFS('4. Equipment Costs'!H:H,'4. Equipment Costs'!C:C,B39,'4. Equipment Costs'!B:B,$F$21)+SUMIFS('5. Subcontracting Costs'!H:H,'5. Subcontracting Costs'!C:C,B39,'5. Subcontracting Costs'!B:B,$F$21)+SUMIFS(' 2-3-6. Travel&amp;Costs of Stay'!N:N,' 2-3-6. Travel&amp;Costs of Stay'!C:C,B39,' 2-3-6. Travel&amp;Costs of Stay'!B:B,$F$21)</f>
        <v>0</v>
      </c>
      <c r="G39" s="22">
        <f>SUMIFS('1. Staff costs'!S:S,'1. Staff costs'!C:C,B39,'1. Staff costs'!B:B,$G$21)+SUMIFS(' 2-3-6. Travel&amp;Costs of Stay'!O:O,' 2-3-6. Travel&amp;Costs of Stay'!C:C,B39,' 2-3-6. Travel&amp;Costs of Stay'!B:B,$G$21)+SUMIFS(' 2-3-6. Travel&amp;Costs of Stay'!P:P,' 2-3-6. Travel&amp;Costs of Stay'!C:C,B39,' 2-3-6. Travel&amp;Costs of Stay'!B:B,$G$21)+SUMIFS('4. Equipment Costs'!H:H,'4. Equipment Costs'!C:C,B39,'4. Equipment Costs'!B:B,$G$21)+SUMIFS('5. Subcontracting Costs'!H:H,'5. Subcontracting Costs'!C:C,B39,'5. Subcontracting Costs'!B:B,$G$21)+SUMIFS(' 2-3-6. Travel&amp;Costs of Stay'!N:N,' 2-3-6. Travel&amp;Costs of Stay'!C:C,B39,' 2-3-6. Travel&amp;Costs of Stay'!B:B,$G$21)</f>
        <v>0</v>
      </c>
      <c r="H39" s="233">
        <f t="shared" si="4"/>
        <v>0</v>
      </c>
      <c r="I39" s="234"/>
    </row>
    <row r="40" spans="2:9" x14ac:dyDescent="0.35">
      <c r="B40" s="48" t="s">
        <v>67</v>
      </c>
      <c r="C40" s="22">
        <f>SUMIFS('1. Staff costs'!S:S,'1. Staff costs'!C:C,B40,'1. Staff costs'!B:B,$C$21)+SUMIFS(' 2-3-6. Travel&amp;Costs of Stay'!O:O,' 2-3-6. Travel&amp;Costs of Stay'!C:C,B40,' 2-3-6. Travel&amp;Costs of Stay'!B:B,$C$21)+SUMIFS(' 2-3-6. Travel&amp;Costs of Stay'!P:P,' 2-3-6. Travel&amp;Costs of Stay'!C:C,B40,' 2-3-6. Travel&amp;Costs of Stay'!B:B,$C$21)+SUMIFS('4. Equipment Costs'!H:H,'4. Equipment Costs'!C:C,B40,'4. Equipment Costs'!B:B,$C$21)+SUMIFS('5. Subcontracting Costs'!H:H,'5. Subcontracting Costs'!C:C,B40,'5. Subcontracting Costs'!B:B,$C$21)+SUMIFS(' 2-3-6. Travel&amp;Costs of Stay'!N:N,' 2-3-6. Travel&amp;Costs of Stay'!C:C,B40,' 2-3-6. Travel&amp;Costs of Stay'!B:B,$C$21)</f>
        <v>0</v>
      </c>
      <c r="D40" s="22">
        <f>SUMIFS('1. Staff costs'!S:S,'1. Staff costs'!C:C,B40,'1. Staff costs'!B:B,$D$21)+SUMIFS(' 2-3-6. Travel&amp;Costs of Stay'!O:O,' 2-3-6. Travel&amp;Costs of Stay'!C:C,B40,' 2-3-6. Travel&amp;Costs of Stay'!B:B,$D$21)+SUMIFS(' 2-3-6. Travel&amp;Costs of Stay'!P:P,' 2-3-6. Travel&amp;Costs of Stay'!C:C,B40,' 2-3-6. Travel&amp;Costs of Stay'!B:B,$D$21)+SUMIFS('4. Equipment Costs'!H:H,'4. Equipment Costs'!C:C,B40,'4. Equipment Costs'!B:B,$D$21)+SUMIFS('5. Subcontracting Costs'!H:H,'5. Subcontracting Costs'!C:C,B40,'5. Subcontracting Costs'!B:B,$D$21)+SUMIFS(' 2-3-6. Travel&amp;Costs of Stay'!N:N,' 2-3-6. Travel&amp;Costs of Stay'!C:C,B40,' 2-3-6. Travel&amp;Costs of Stay'!B:B,$D$21)</f>
        <v>0</v>
      </c>
      <c r="E40" s="22">
        <f>SUMIFS('1. Staff costs'!S:S,'1. Staff costs'!C:C,B40,'1. Staff costs'!B:B,$E$21)+SUMIFS(' 2-3-6. Travel&amp;Costs of Stay'!O:O,' 2-3-6. Travel&amp;Costs of Stay'!C:C,B40,' 2-3-6. Travel&amp;Costs of Stay'!B:B,$E$21)+SUMIFS(' 2-3-6. Travel&amp;Costs of Stay'!P:P,' 2-3-6. Travel&amp;Costs of Stay'!C:C,B40,' 2-3-6. Travel&amp;Costs of Stay'!B:B,$E$21)+SUMIFS('4. Equipment Costs'!H:H,'4. Equipment Costs'!C:C,B40,'4. Equipment Costs'!B:B,$E$21)+SUMIFS('5. Subcontracting Costs'!H:H,'5. Subcontracting Costs'!C:C,B40,'5. Subcontracting Costs'!B:B,$E$21)+SUMIFS(' 2-3-6. Travel&amp;Costs of Stay'!N:N,' 2-3-6. Travel&amp;Costs of Stay'!C:C,B40,' 2-3-6. Travel&amp;Costs of Stay'!B:B,$E$21)</f>
        <v>0</v>
      </c>
      <c r="F40" s="22">
        <f>SUMIFS('1. Staff costs'!S:S,'1. Staff costs'!C:C,B40,'1. Staff costs'!B:B,$F$21)+SUMIFS(' 2-3-6. Travel&amp;Costs of Stay'!O:O,' 2-3-6. Travel&amp;Costs of Stay'!C:C,B40,' 2-3-6. Travel&amp;Costs of Stay'!B:B,$F$21)+SUMIFS(' 2-3-6. Travel&amp;Costs of Stay'!P:P,' 2-3-6. Travel&amp;Costs of Stay'!C:C,B40,' 2-3-6. Travel&amp;Costs of Stay'!B:B,$F$21)+SUMIFS('4. Equipment Costs'!H:H,'4. Equipment Costs'!C:C,B40,'4. Equipment Costs'!B:B,$F$21)+SUMIFS('5. Subcontracting Costs'!H:H,'5. Subcontracting Costs'!C:C,B40,'5. Subcontracting Costs'!B:B,$F$21)+SUMIFS(' 2-3-6. Travel&amp;Costs of Stay'!N:N,' 2-3-6. Travel&amp;Costs of Stay'!C:C,B40,' 2-3-6. Travel&amp;Costs of Stay'!B:B,$F$21)</f>
        <v>0</v>
      </c>
      <c r="G40" s="22">
        <f>SUMIFS('1. Staff costs'!S:S,'1. Staff costs'!C:C,B40,'1. Staff costs'!B:B,$G$21)+SUMIFS(' 2-3-6. Travel&amp;Costs of Stay'!O:O,' 2-3-6. Travel&amp;Costs of Stay'!C:C,B40,' 2-3-6. Travel&amp;Costs of Stay'!B:B,$G$21)+SUMIFS(' 2-3-6. Travel&amp;Costs of Stay'!P:P,' 2-3-6. Travel&amp;Costs of Stay'!C:C,B40,' 2-3-6. Travel&amp;Costs of Stay'!B:B,$G$21)+SUMIFS('4. Equipment Costs'!H:H,'4. Equipment Costs'!C:C,B40,'4. Equipment Costs'!B:B,$G$21)+SUMIFS('5. Subcontracting Costs'!H:H,'5. Subcontracting Costs'!C:C,B40,'5. Subcontracting Costs'!B:B,$G$21)+SUMIFS(' 2-3-6. Travel&amp;Costs of Stay'!N:N,' 2-3-6. Travel&amp;Costs of Stay'!C:C,B40,' 2-3-6. Travel&amp;Costs of Stay'!B:B,$G$21)</f>
        <v>0</v>
      </c>
      <c r="H40" s="233">
        <f t="shared" si="4"/>
        <v>0</v>
      </c>
      <c r="I40" s="234"/>
    </row>
    <row r="41" spans="2:9" x14ac:dyDescent="0.35">
      <c r="B41" s="48" t="s">
        <v>68</v>
      </c>
      <c r="C41" s="22">
        <f>SUMIFS('1. Staff costs'!S:S,'1. Staff costs'!C:C,B41,'1. Staff costs'!B:B,$C$21)+SUMIFS(' 2-3-6. Travel&amp;Costs of Stay'!O:O,' 2-3-6. Travel&amp;Costs of Stay'!C:C,B41,' 2-3-6. Travel&amp;Costs of Stay'!B:B,$C$21)+SUMIFS(' 2-3-6. Travel&amp;Costs of Stay'!P:P,' 2-3-6. Travel&amp;Costs of Stay'!C:C,B41,' 2-3-6. Travel&amp;Costs of Stay'!B:B,$C$21)+SUMIFS('4. Equipment Costs'!H:H,'4. Equipment Costs'!C:C,B41,'4. Equipment Costs'!B:B,$C$21)+SUMIFS('5. Subcontracting Costs'!H:H,'5. Subcontracting Costs'!C:C,B41,'5. Subcontracting Costs'!B:B,$C$21)+SUMIFS(' 2-3-6. Travel&amp;Costs of Stay'!N:N,' 2-3-6. Travel&amp;Costs of Stay'!C:C,B41,' 2-3-6. Travel&amp;Costs of Stay'!B:B,$C$21)</f>
        <v>0</v>
      </c>
      <c r="D41" s="22">
        <f>SUMIFS('1. Staff costs'!S:S,'1. Staff costs'!C:C,B41,'1. Staff costs'!B:B,$D$21)+SUMIFS(' 2-3-6. Travel&amp;Costs of Stay'!O:O,' 2-3-6. Travel&amp;Costs of Stay'!C:C,B41,' 2-3-6. Travel&amp;Costs of Stay'!B:B,$D$21)+SUMIFS(' 2-3-6. Travel&amp;Costs of Stay'!P:P,' 2-3-6. Travel&amp;Costs of Stay'!C:C,B41,' 2-3-6. Travel&amp;Costs of Stay'!B:B,$D$21)+SUMIFS('4. Equipment Costs'!H:H,'4. Equipment Costs'!C:C,B41,'4. Equipment Costs'!B:B,$D$21)+SUMIFS('5. Subcontracting Costs'!H:H,'5. Subcontracting Costs'!C:C,B41,'5. Subcontracting Costs'!B:B,$D$21)+SUMIFS(' 2-3-6. Travel&amp;Costs of Stay'!N:N,' 2-3-6. Travel&amp;Costs of Stay'!C:C,B41,' 2-3-6. Travel&amp;Costs of Stay'!B:B,$D$21)</f>
        <v>0</v>
      </c>
      <c r="E41" s="22">
        <f>SUMIFS('1. Staff costs'!S:S,'1. Staff costs'!C:C,B41,'1. Staff costs'!B:B,$E$21)+SUMIFS(' 2-3-6. Travel&amp;Costs of Stay'!O:O,' 2-3-6. Travel&amp;Costs of Stay'!C:C,B41,' 2-3-6. Travel&amp;Costs of Stay'!B:B,$E$21)+SUMIFS(' 2-3-6. Travel&amp;Costs of Stay'!P:P,' 2-3-6. Travel&amp;Costs of Stay'!C:C,B41,' 2-3-6. Travel&amp;Costs of Stay'!B:B,$E$21)+SUMIFS('4. Equipment Costs'!H:H,'4. Equipment Costs'!C:C,B41,'4. Equipment Costs'!B:B,$E$21)+SUMIFS('5. Subcontracting Costs'!H:H,'5. Subcontracting Costs'!C:C,B41,'5. Subcontracting Costs'!B:B,$E$21)+SUMIFS(' 2-3-6. Travel&amp;Costs of Stay'!N:N,' 2-3-6. Travel&amp;Costs of Stay'!C:C,B41,' 2-3-6. Travel&amp;Costs of Stay'!B:B,$E$21)</f>
        <v>0</v>
      </c>
      <c r="F41" s="22">
        <f>SUMIFS('1. Staff costs'!S:S,'1. Staff costs'!C:C,B41,'1. Staff costs'!B:B,$F$21)+SUMIFS(' 2-3-6. Travel&amp;Costs of Stay'!O:O,' 2-3-6. Travel&amp;Costs of Stay'!C:C,B41,' 2-3-6. Travel&amp;Costs of Stay'!B:B,$F$21)+SUMIFS(' 2-3-6. Travel&amp;Costs of Stay'!P:P,' 2-3-6. Travel&amp;Costs of Stay'!C:C,B41,' 2-3-6. Travel&amp;Costs of Stay'!B:B,$F$21)+SUMIFS('4. Equipment Costs'!H:H,'4. Equipment Costs'!C:C,B41,'4. Equipment Costs'!B:B,$F$21)+SUMIFS('5. Subcontracting Costs'!H:H,'5. Subcontracting Costs'!C:C,B41,'5. Subcontracting Costs'!B:B,$F$21)+SUMIFS(' 2-3-6. Travel&amp;Costs of Stay'!N:N,' 2-3-6. Travel&amp;Costs of Stay'!C:C,B41,' 2-3-6. Travel&amp;Costs of Stay'!B:B,$F$21)</f>
        <v>0</v>
      </c>
      <c r="G41" s="22">
        <f>SUMIFS('1. Staff costs'!S:S,'1. Staff costs'!C:C,B41,'1. Staff costs'!B:B,$G$21)+SUMIFS(' 2-3-6. Travel&amp;Costs of Stay'!O:O,' 2-3-6. Travel&amp;Costs of Stay'!C:C,B41,' 2-3-6. Travel&amp;Costs of Stay'!B:B,$G$21)+SUMIFS(' 2-3-6. Travel&amp;Costs of Stay'!P:P,' 2-3-6. Travel&amp;Costs of Stay'!C:C,B41,' 2-3-6. Travel&amp;Costs of Stay'!B:B,$G$21)+SUMIFS('4. Equipment Costs'!H:H,'4. Equipment Costs'!C:C,B41,'4. Equipment Costs'!B:B,$G$21)+SUMIFS('5. Subcontracting Costs'!H:H,'5. Subcontracting Costs'!C:C,B41,'5. Subcontracting Costs'!B:B,$G$21)+SUMIFS(' 2-3-6. Travel&amp;Costs of Stay'!N:N,' 2-3-6. Travel&amp;Costs of Stay'!C:C,B41,' 2-3-6. Travel&amp;Costs of Stay'!B:B,$G$21)</f>
        <v>0</v>
      </c>
      <c r="H41" s="233">
        <f t="shared" si="4"/>
        <v>0</v>
      </c>
      <c r="I41" s="234"/>
    </row>
    <row r="42" spans="2:9" x14ac:dyDescent="0.35">
      <c r="B42" s="48" t="s">
        <v>69</v>
      </c>
      <c r="C42" s="22">
        <f>SUMIFS('1. Staff costs'!S:S,'1. Staff costs'!C:C,B42,'1. Staff costs'!B:B,$C$21)+SUMIFS(' 2-3-6. Travel&amp;Costs of Stay'!O:O,' 2-3-6. Travel&amp;Costs of Stay'!C:C,B42,' 2-3-6. Travel&amp;Costs of Stay'!B:B,$C$21)+SUMIFS(' 2-3-6. Travel&amp;Costs of Stay'!P:P,' 2-3-6. Travel&amp;Costs of Stay'!C:C,B42,' 2-3-6. Travel&amp;Costs of Stay'!B:B,$C$21)+SUMIFS('4. Equipment Costs'!H:H,'4. Equipment Costs'!C:C,B42,'4. Equipment Costs'!B:B,$C$21)+SUMIFS('5. Subcontracting Costs'!H:H,'5. Subcontracting Costs'!C:C,B42,'5. Subcontracting Costs'!B:B,$C$21)+SUMIFS(' 2-3-6. Travel&amp;Costs of Stay'!N:N,' 2-3-6. Travel&amp;Costs of Stay'!C:C,B42,' 2-3-6. Travel&amp;Costs of Stay'!B:B,$C$21)</f>
        <v>0</v>
      </c>
      <c r="D42" s="22">
        <f>SUMIFS('1. Staff costs'!S:S,'1. Staff costs'!C:C,B42,'1. Staff costs'!B:B,$D$21)+SUMIFS(' 2-3-6. Travel&amp;Costs of Stay'!O:O,' 2-3-6. Travel&amp;Costs of Stay'!C:C,B42,' 2-3-6. Travel&amp;Costs of Stay'!B:B,$D$21)+SUMIFS(' 2-3-6. Travel&amp;Costs of Stay'!P:P,' 2-3-6. Travel&amp;Costs of Stay'!C:C,B42,' 2-3-6. Travel&amp;Costs of Stay'!B:B,$D$21)+SUMIFS('4. Equipment Costs'!H:H,'4. Equipment Costs'!C:C,B42,'4. Equipment Costs'!B:B,$D$21)+SUMIFS('5. Subcontracting Costs'!H:H,'5. Subcontracting Costs'!C:C,B42,'5. Subcontracting Costs'!B:B,$D$21)+SUMIFS(' 2-3-6. Travel&amp;Costs of Stay'!N:N,' 2-3-6. Travel&amp;Costs of Stay'!C:C,B42,' 2-3-6. Travel&amp;Costs of Stay'!B:B,$D$21)</f>
        <v>0</v>
      </c>
      <c r="E42" s="22">
        <f>SUMIFS('1. Staff costs'!S:S,'1. Staff costs'!C:C,B42,'1. Staff costs'!B:B,$E$21)+SUMIFS(' 2-3-6. Travel&amp;Costs of Stay'!O:O,' 2-3-6. Travel&amp;Costs of Stay'!C:C,B42,' 2-3-6. Travel&amp;Costs of Stay'!B:B,$E$21)+SUMIFS(' 2-3-6. Travel&amp;Costs of Stay'!P:P,' 2-3-6. Travel&amp;Costs of Stay'!C:C,B42,' 2-3-6. Travel&amp;Costs of Stay'!B:B,$E$21)+SUMIFS('4. Equipment Costs'!H:H,'4. Equipment Costs'!C:C,B42,'4. Equipment Costs'!B:B,$E$21)+SUMIFS('5. Subcontracting Costs'!H:H,'5. Subcontracting Costs'!C:C,B42,'5. Subcontracting Costs'!B:B,$E$21)+SUMIFS(' 2-3-6. Travel&amp;Costs of Stay'!N:N,' 2-3-6. Travel&amp;Costs of Stay'!C:C,B42,' 2-3-6. Travel&amp;Costs of Stay'!B:B,$E$21)</f>
        <v>0</v>
      </c>
      <c r="F42" s="22">
        <f>SUMIFS('1. Staff costs'!S:S,'1. Staff costs'!C:C,B42,'1. Staff costs'!B:B,$F$21)+SUMIFS(' 2-3-6. Travel&amp;Costs of Stay'!O:O,' 2-3-6. Travel&amp;Costs of Stay'!C:C,B42,' 2-3-6. Travel&amp;Costs of Stay'!B:B,$F$21)+SUMIFS(' 2-3-6. Travel&amp;Costs of Stay'!P:P,' 2-3-6. Travel&amp;Costs of Stay'!C:C,B42,' 2-3-6. Travel&amp;Costs of Stay'!B:B,$F$21)+SUMIFS('4. Equipment Costs'!H:H,'4. Equipment Costs'!C:C,B42,'4. Equipment Costs'!B:B,$F$21)+SUMIFS('5. Subcontracting Costs'!H:H,'5. Subcontracting Costs'!C:C,B42,'5. Subcontracting Costs'!B:B,$F$21)+SUMIFS(' 2-3-6. Travel&amp;Costs of Stay'!N:N,' 2-3-6. Travel&amp;Costs of Stay'!C:C,B42,' 2-3-6. Travel&amp;Costs of Stay'!B:B,$F$21)</f>
        <v>0</v>
      </c>
      <c r="G42" s="22">
        <f>SUMIFS('1. Staff costs'!S:S,'1. Staff costs'!C:C,B42,'1. Staff costs'!B:B,$G$21)+SUMIFS(' 2-3-6. Travel&amp;Costs of Stay'!O:O,' 2-3-6. Travel&amp;Costs of Stay'!C:C,B42,' 2-3-6. Travel&amp;Costs of Stay'!B:B,$G$21)+SUMIFS(' 2-3-6. Travel&amp;Costs of Stay'!P:P,' 2-3-6. Travel&amp;Costs of Stay'!C:C,B42,' 2-3-6. Travel&amp;Costs of Stay'!B:B,$G$21)+SUMIFS('4. Equipment Costs'!H:H,'4. Equipment Costs'!C:C,B42,'4. Equipment Costs'!B:B,$G$21)+SUMIFS('5. Subcontracting Costs'!H:H,'5. Subcontracting Costs'!C:C,B42,'5. Subcontracting Costs'!B:B,$G$21)+SUMIFS(' 2-3-6. Travel&amp;Costs of Stay'!N:N,' 2-3-6. Travel&amp;Costs of Stay'!C:C,B42,' 2-3-6. Travel&amp;Costs of Stay'!B:B,$G$21)</f>
        <v>0</v>
      </c>
      <c r="H42" s="233">
        <f t="shared" si="4"/>
        <v>0</v>
      </c>
      <c r="I42" s="234"/>
    </row>
    <row r="43" spans="2:9" x14ac:dyDescent="0.35">
      <c r="B43" s="48" t="s">
        <v>70</v>
      </c>
      <c r="C43" s="22">
        <f>SUMIFS('1. Staff costs'!S:S,'1. Staff costs'!C:C,B43,'1. Staff costs'!B:B,$C$21)+SUMIFS(' 2-3-6. Travel&amp;Costs of Stay'!O:O,' 2-3-6. Travel&amp;Costs of Stay'!C:C,B43,' 2-3-6. Travel&amp;Costs of Stay'!B:B,$C$21)+SUMIFS(' 2-3-6. Travel&amp;Costs of Stay'!P:P,' 2-3-6. Travel&amp;Costs of Stay'!C:C,B43,' 2-3-6. Travel&amp;Costs of Stay'!B:B,$C$21)+SUMIFS('4. Equipment Costs'!H:H,'4. Equipment Costs'!C:C,B43,'4. Equipment Costs'!B:B,$C$21)+SUMIFS('5. Subcontracting Costs'!H:H,'5. Subcontracting Costs'!C:C,B43,'5. Subcontracting Costs'!B:B,$C$21)+SUMIFS(' 2-3-6. Travel&amp;Costs of Stay'!N:N,' 2-3-6. Travel&amp;Costs of Stay'!C:C,B43,' 2-3-6. Travel&amp;Costs of Stay'!B:B,$C$21)</f>
        <v>0</v>
      </c>
      <c r="D43" s="22">
        <f>SUMIFS('1. Staff costs'!S:S,'1. Staff costs'!C:C,B43,'1. Staff costs'!B:B,$D$21)+SUMIFS(' 2-3-6. Travel&amp;Costs of Stay'!O:O,' 2-3-6. Travel&amp;Costs of Stay'!C:C,B43,' 2-3-6. Travel&amp;Costs of Stay'!B:B,$D$21)+SUMIFS(' 2-3-6. Travel&amp;Costs of Stay'!P:P,' 2-3-6. Travel&amp;Costs of Stay'!C:C,B43,' 2-3-6. Travel&amp;Costs of Stay'!B:B,$D$21)+SUMIFS('4. Equipment Costs'!H:H,'4. Equipment Costs'!C:C,B43,'4. Equipment Costs'!B:B,$D$21)+SUMIFS('5. Subcontracting Costs'!H:H,'5. Subcontracting Costs'!C:C,B43,'5. Subcontracting Costs'!B:B,$D$21)+SUMIFS(' 2-3-6. Travel&amp;Costs of Stay'!N:N,' 2-3-6. Travel&amp;Costs of Stay'!C:C,B43,' 2-3-6. Travel&amp;Costs of Stay'!B:B,$D$21)</f>
        <v>0</v>
      </c>
      <c r="E43" s="22">
        <f>SUMIFS('1. Staff costs'!S:S,'1. Staff costs'!C:C,B43,'1. Staff costs'!B:B,$E$21)+SUMIFS(' 2-3-6. Travel&amp;Costs of Stay'!O:O,' 2-3-6. Travel&amp;Costs of Stay'!C:C,B43,' 2-3-6. Travel&amp;Costs of Stay'!B:B,$E$21)+SUMIFS(' 2-3-6. Travel&amp;Costs of Stay'!P:P,' 2-3-6. Travel&amp;Costs of Stay'!C:C,B43,' 2-3-6. Travel&amp;Costs of Stay'!B:B,$E$21)+SUMIFS('4. Equipment Costs'!H:H,'4. Equipment Costs'!C:C,B43,'4. Equipment Costs'!B:B,$E$21)+SUMIFS('5. Subcontracting Costs'!H:H,'5. Subcontracting Costs'!C:C,B43,'5. Subcontracting Costs'!B:B,$E$21)+SUMIFS(' 2-3-6. Travel&amp;Costs of Stay'!N:N,' 2-3-6. Travel&amp;Costs of Stay'!C:C,B43,' 2-3-6. Travel&amp;Costs of Stay'!B:B,$E$21)</f>
        <v>0</v>
      </c>
      <c r="F43" s="22">
        <f>SUMIFS('1. Staff costs'!S:S,'1. Staff costs'!C:C,B43,'1. Staff costs'!B:B,$F$21)+SUMIFS(' 2-3-6. Travel&amp;Costs of Stay'!O:O,' 2-3-6. Travel&amp;Costs of Stay'!C:C,B43,' 2-3-6. Travel&amp;Costs of Stay'!B:B,$F$21)+SUMIFS(' 2-3-6. Travel&amp;Costs of Stay'!P:P,' 2-3-6. Travel&amp;Costs of Stay'!C:C,B43,' 2-3-6. Travel&amp;Costs of Stay'!B:B,$F$21)+SUMIFS('4. Equipment Costs'!H:H,'4. Equipment Costs'!C:C,B43,'4. Equipment Costs'!B:B,$F$21)+SUMIFS('5. Subcontracting Costs'!H:H,'5. Subcontracting Costs'!C:C,B43,'5. Subcontracting Costs'!B:B,$F$21)+SUMIFS(' 2-3-6. Travel&amp;Costs of Stay'!N:N,' 2-3-6. Travel&amp;Costs of Stay'!C:C,B43,' 2-3-6. Travel&amp;Costs of Stay'!B:B,$F$21)</f>
        <v>0</v>
      </c>
      <c r="G43" s="22">
        <f>SUMIFS('1. Staff costs'!S:S,'1. Staff costs'!C:C,B43,'1. Staff costs'!B:B,$G$21)+SUMIFS(' 2-3-6. Travel&amp;Costs of Stay'!O:O,' 2-3-6. Travel&amp;Costs of Stay'!C:C,B43,' 2-3-6. Travel&amp;Costs of Stay'!B:B,$G$21)+SUMIFS(' 2-3-6. Travel&amp;Costs of Stay'!P:P,' 2-3-6. Travel&amp;Costs of Stay'!C:C,B43,' 2-3-6. Travel&amp;Costs of Stay'!B:B,$G$21)+SUMIFS('4. Equipment Costs'!H:H,'4. Equipment Costs'!C:C,B43,'4. Equipment Costs'!B:B,$G$21)+SUMIFS('5. Subcontracting Costs'!H:H,'5. Subcontracting Costs'!C:C,B43,'5. Subcontracting Costs'!B:B,$G$21)+SUMIFS(' 2-3-6. Travel&amp;Costs of Stay'!N:N,' 2-3-6. Travel&amp;Costs of Stay'!C:C,B43,' 2-3-6. Travel&amp;Costs of Stay'!B:B,$G$21)</f>
        <v>0</v>
      </c>
      <c r="H43" s="233">
        <f t="shared" si="4"/>
        <v>0</v>
      </c>
      <c r="I43" s="234"/>
    </row>
    <row r="44" spans="2:9" x14ac:dyDescent="0.35">
      <c r="B44" s="48" t="s">
        <v>71</v>
      </c>
      <c r="C44" s="22">
        <f>SUMIFS('1. Staff costs'!S:S,'1. Staff costs'!C:C,B44,'1. Staff costs'!B:B,$C$21)+SUMIFS(' 2-3-6. Travel&amp;Costs of Stay'!O:O,' 2-3-6. Travel&amp;Costs of Stay'!C:C,B44,' 2-3-6. Travel&amp;Costs of Stay'!B:B,$C$21)+SUMIFS(' 2-3-6. Travel&amp;Costs of Stay'!P:P,' 2-3-6. Travel&amp;Costs of Stay'!C:C,B44,' 2-3-6. Travel&amp;Costs of Stay'!B:B,$C$21)+SUMIFS('4. Equipment Costs'!H:H,'4. Equipment Costs'!C:C,B44,'4. Equipment Costs'!B:B,$C$21)+SUMIFS('5. Subcontracting Costs'!H:H,'5. Subcontracting Costs'!C:C,B44,'5. Subcontracting Costs'!B:B,$C$21)+SUMIFS(' 2-3-6. Travel&amp;Costs of Stay'!N:N,' 2-3-6. Travel&amp;Costs of Stay'!C:C,B44,' 2-3-6. Travel&amp;Costs of Stay'!B:B,$C$21)</f>
        <v>0</v>
      </c>
      <c r="D44" s="22">
        <f>SUMIFS('1. Staff costs'!S:S,'1. Staff costs'!C:C,B44,'1. Staff costs'!B:B,$D$21)+SUMIFS(' 2-3-6. Travel&amp;Costs of Stay'!O:O,' 2-3-6. Travel&amp;Costs of Stay'!C:C,B44,' 2-3-6. Travel&amp;Costs of Stay'!B:B,$D$21)+SUMIFS(' 2-3-6. Travel&amp;Costs of Stay'!P:P,' 2-3-6. Travel&amp;Costs of Stay'!C:C,B44,' 2-3-6. Travel&amp;Costs of Stay'!B:B,$D$21)+SUMIFS('4. Equipment Costs'!H:H,'4. Equipment Costs'!C:C,B44,'4. Equipment Costs'!B:B,$D$21)+SUMIFS('5. Subcontracting Costs'!H:H,'5. Subcontracting Costs'!C:C,B44,'5. Subcontracting Costs'!B:B,$D$21)+SUMIFS(' 2-3-6. Travel&amp;Costs of Stay'!N:N,' 2-3-6. Travel&amp;Costs of Stay'!C:C,B44,' 2-3-6. Travel&amp;Costs of Stay'!B:B,$D$21)</f>
        <v>0</v>
      </c>
      <c r="E44" s="22">
        <f>SUMIFS('1. Staff costs'!S:S,'1. Staff costs'!C:C,B44,'1. Staff costs'!B:B,$E$21)+SUMIFS(' 2-3-6. Travel&amp;Costs of Stay'!O:O,' 2-3-6. Travel&amp;Costs of Stay'!C:C,B44,' 2-3-6. Travel&amp;Costs of Stay'!B:B,$E$21)+SUMIFS(' 2-3-6. Travel&amp;Costs of Stay'!P:P,' 2-3-6. Travel&amp;Costs of Stay'!C:C,B44,' 2-3-6. Travel&amp;Costs of Stay'!B:B,$E$21)+SUMIFS('4. Equipment Costs'!H:H,'4. Equipment Costs'!C:C,B44,'4. Equipment Costs'!B:B,$E$21)+SUMIFS('5. Subcontracting Costs'!H:H,'5. Subcontracting Costs'!C:C,B44,'5. Subcontracting Costs'!B:B,$E$21)+SUMIFS(' 2-3-6. Travel&amp;Costs of Stay'!N:N,' 2-3-6. Travel&amp;Costs of Stay'!C:C,B44,' 2-3-6. Travel&amp;Costs of Stay'!B:B,$E$21)</f>
        <v>0</v>
      </c>
      <c r="F44" s="22">
        <f>SUMIFS('1. Staff costs'!S:S,'1. Staff costs'!C:C,B44,'1. Staff costs'!B:B,$F$21)+SUMIFS(' 2-3-6. Travel&amp;Costs of Stay'!O:O,' 2-3-6. Travel&amp;Costs of Stay'!C:C,B44,' 2-3-6. Travel&amp;Costs of Stay'!B:B,$F$21)+SUMIFS(' 2-3-6. Travel&amp;Costs of Stay'!P:P,' 2-3-6. Travel&amp;Costs of Stay'!C:C,B44,' 2-3-6. Travel&amp;Costs of Stay'!B:B,$F$21)+SUMIFS('4. Equipment Costs'!H:H,'4. Equipment Costs'!C:C,B44,'4. Equipment Costs'!B:B,$F$21)+SUMIFS('5. Subcontracting Costs'!H:H,'5. Subcontracting Costs'!C:C,B44,'5. Subcontracting Costs'!B:B,$F$21)+SUMIFS(' 2-3-6. Travel&amp;Costs of Stay'!N:N,' 2-3-6. Travel&amp;Costs of Stay'!C:C,B44,' 2-3-6. Travel&amp;Costs of Stay'!B:B,$F$21)</f>
        <v>0</v>
      </c>
      <c r="G44" s="22">
        <f>SUMIFS('1. Staff costs'!S:S,'1. Staff costs'!C:C,B44,'1. Staff costs'!B:B,$G$21)+SUMIFS(' 2-3-6. Travel&amp;Costs of Stay'!O:O,' 2-3-6. Travel&amp;Costs of Stay'!C:C,B44,' 2-3-6. Travel&amp;Costs of Stay'!B:B,$G$21)+SUMIFS(' 2-3-6. Travel&amp;Costs of Stay'!P:P,' 2-3-6. Travel&amp;Costs of Stay'!C:C,B44,' 2-3-6. Travel&amp;Costs of Stay'!B:B,$G$21)+SUMIFS('4. Equipment Costs'!H:H,'4. Equipment Costs'!C:C,B44,'4. Equipment Costs'!B:B,$G$21)+SUMIFS('5. Subcontracting Costs'!H:H,'5. Subcontracting Costs'!C:C,B44,'5. Subcontracting Costs'!B:B,$G$21)+SUMIFS(' 2-3-6. Travel&amp;Costs of Stay'!N:N,' 2-3-6. Travel&amp;Costs of Stay'!C:C,B44,' 2-3-6. Travel&amp;Costs of Stay'!B:B,$G$21)</f>
        <v>0</v>
      </c>
      <c r="H44" s="233">
        <f t="shared" si="4"/>
        <v>0</v>
      </c>
      <c r="I44" s="234"/>
    </row>
    <row r="45" spans="2:9" x14ac:dyDescent="0.35">
      <c r="B45" s="48" t="s">
        <v>72</v>
      </c>
      <c r="C45" s="22">
        <f>SUMIFS('1. Staff costs'!S:S,'1. Staff costs'!C:C,B45,'1. Staff costs'!B:B,$C$21)+SUMIFS(' 2-3-6. Travel&amp;Costs of Stay'!O:O,' 2-3-6. Travel&amp;Costs of Stay'!C:C,B45,' 2-3-6. Travel&amp;Costs of Stay'!B:B,$C$21)+SUMIFS(' 2-3-6. Travel&amp;Costs of Stay'!P:P,' 2-3-6. Travel&amp;Costs of Stay'!C:C,B45,' 2-3-6. Travel&amp;Costs of Stay'!B:B,$C$21)+SUMIFS('4. Equipment Costs'!H:H,'4. Equipment Costs'!C:C,B45,'4. Equipment Costs'!B:B,$C$21)+SUMIFS('5. Subcontracting Costs'!H:H,'5. Subcontracting Costs'!C:C,B45,'5. Subcontracting Costs'!B:B,$C$21)+SUMIFS(' 2-3-6. Travel&amp;Costs of Stay'!N:N,' 2-3-6. Travel&amp;Costs of Stay'!C:C,B45,' 2-3-6. Travel&amp;Costs of Stay'!B:B,$C$21)</f>
        <v>0</v>
      </c>
      <c r="D45" s="22">
        <f>SUMIFS('1. Staff costs'!S:S,'1. Staff costs'!C:C,B45,'1. Staff costs'!B:B,$D$21)+SUMIFS(' 2-3-6. Travel&amp;Costs of Stay'!O:O,' 2-3-6. Travel&amp;Costs of Stay'!C:C,B45,' 2-3-6. Travel&amp;Costs of Stay'!B:B,$D$21)+SUMIFS(' 2-3-6. Travel&amp;Costs of Stay'!P:P,' 2-3-6. Travel&amp;Costs of Stay'!C:C,B45,' 2-3-6. Travel&amp;Costs of Stay'!B:B,$D$21)+SUMIFS('4. Equipment Costs'!H:H,'4. Equipment Costs'!C:C,B45,'4. Equipment Costs'!B:B,$D$21)+SUMIFS('5. Subcontracting Costs'!H:H,'5. Subcontracting Costs'!C:C,B45,'5. Subcontracting Costs'!B:B,$D$21)+SUMIFS(' 2-3-6. Travel&amp;Costs of Stay'!N:N,' 2-3-6. Travel&amp;Costs of Stay'!C:C,B45,' 2-3-6. Travel&amp;Costs of Stay'!B:B,$D$21)</f>
        <v>0</v>
      </c>
      <c r="E45" s="22">
        <f>SUMIFS('1. Staff costs'!S:S,'1. Staff costs'!C:C,B45,'1. Staff costs'!B:B,$E$21)+SUMIFS(' 2-3-6. Travel&amp;Costs of Stay'!O:O,' 2-3-6. Travel&amp;Costs of Stay'!C:C,B45,' 2-3-6. Travel&amp;Costs of Stay'!B:B,$E$21)+SUMIFS(' 2-3-6. Travel&amp;Costs of Stay'!P:P,' 2-3-6. Travel&amp;Costs of Stay'!C:C,B45,' 2-3-6. Travel&amp;Costs of Stay'!B:B,$E$21)+SUMIFS('4. Equipment Costs'!H:H,'4. Equipment Costs'!C:C,B45,'4. Equipment Costs'!B:B,$E$21)+SUMIFS('5. Subcontracting Costs'!H:H,'5. Subcontracting Costs'!C:C,B45,'5. Subcontracting Costs'!B:B,$E$21)+SUMIFS(' 2-3-6. Travel&amp;Costs of Stay'!N:N,' 2-3-6. Travel&amp;Costs of Stay'!C:C,B45,' 2-3-6. Travel&amp;Costs of Stay'!B:B,$E$21)</f>
        <v>0</v>
      </c>
      <c r="F45" s="22">
        <f>SUMIFS('1. Staff costs'!S:S,'1. Staff costs'!C:C,B45,'1. Staff costs'!B:B,$F$21)+SUMIFS(' 2-3-6. Travel&amp;Costs of Stay'!O:O,' 2-3-6. Travel&amp;Costs of Stay'!C:C,B45,' 2-3-6. Travel&amp;Costs of Stay'!B:B,$F$21)+SUMIFS(' 2-3-6. Travel&amp;Costs of Stay'!P:P,' 2-3-6. Travel&amp;Costs of Stay'!C:C,B45,' 2-3-6. Travel&amp;Costs of Stay'!B:B,$F$21)+SUMIFS('4. Equipment Costs'!H:H,'4. Equipment Costs'!C:C,B45,'4. Equipment Costs'!B:B,$F$21)+SUMIFS('5. Subcontracting Costs'!H:H,'5. Subcontracting Costs'!C:C,B45,'5. Subcontracting Costs'!B:B,$F$21)+SUMIFS(' 2-3-6. Travel&amp;Costs of Stay'!N:N,' 2-3-6. Travel&amp;Costs of Stay'!C:C,B45,' 2-3-6. Travel&amp;Costs of Stay'!B:B,$F$21)</f>
        <v>0</v>
      </c>
      <c r="G45" s="22">
        <f>SUMIFS('1. Staff costs'!S:S,'1. Staff costs'!C:C,B45,'1. Staff costs'!B:B,$G$21)+SUMIFS(' 2-3-6. Travel&amp;Costs of Stay'!O:O,' 2-3-6. Travel&amp;Costs of Stay'!C:C,B45,' 2-3-6. Travel&amp;Costs of Stay'!B:B,$G$21)+SUMIFS(' 2-3-6. Travel&amp;Costs of Stay'!P:P,' 2-3-6. Travel&amp;Costs of Stay'!C:C,B45,' 2-3-6. Travel&amp;Costs of Stay'!B:B,$G$21)+SUMIFS('4. Equipment Costs'!H:H,'4. Equipment Costs'!C:C,B45,'4. Equipment Costs'!B:B,$G$21)+SUMIFS('5. Subcontracting Costs'!H:H,'5. Subcontracting Costs'!C:C,B45,'5. Subcontracting Costs'!B:B,$G$21)+SUMIFS(' 2-3-6. Travel&amp;Costs of Stay'!N:N,' 2-3-6. Travel&amp;Costs of Stay'!C:C,B45,' 2-3-6. Travel&amp;Costs of Stay'!B:B,$G$21)</f>
        <v>0</v>
      </c>
      <c r="H45" s="233">
        <f t="shared" si="4"/>
        <v>0</v>
      </c>
      <c r="I45" s="234"/>
    </row>
    <row r="46" spans="2:9" x14ac:dyDescent="0.35">
      <c r="B46" s="48" t="s">
        <v>73</v>
      </c>
      <c r="C46" s="22">
        <f>SUMIFS('1. Staff costs'!S:S,'1. Staff costs'!C:C,B46,'1. Staff costs'!B:B,$C$21)+SUMIFS(' 2-3-6. Travel&amp;Costs of Stay'!O:O,' 2-3-6. Travel&amp;Costs of Stay'!C:C,B46,' 2-3-6. Travel&amp;Costs of Stay'!B:B,$C$21)+SUMIFS(' 2-3-6. Travel&amp;Costs of Stay'!P:P,' 2-3-6. Travel&amp;Costs of Stay'!C:C,B46,' 2-3-6. Travel&amp;Costs of Stay'!B:B,$C$21)+SUMIFS('4. Equipment Costs'!H:H,'4. Equipment Costs'!C:C,B46,'4. Equipment Costs'!B:B,$C$21)+SUMIFS('5. Subcontracting Costs'!H:H,'5. Subcontracting Costs'!C:C,B46,'5. Subcontracting Costs'!B:B,$C$21)+SUMIFS(' 2-3-6. Travel&amp;Costs of Stay'!N:N,' 2-3-6. Travel&amp;Costs of Stay'!C:C,B46,' 2-3-6. Travel&amp;Costs of Stay'!B:B,$C$21)</f>
        <v>0</v>
      </c>
      <c r="D46" s="22">
        <f>SUMIFS('1. Staff costs'!S:S,'1. Staff costs'!C:C,B46,'1. Staff costs'!B:B,$D$21)+SUMIFS(' 2-3-6. Travel&amp;Costs of Stay'!O:O,' 2-3-6. Travel&amp;Costs of Stay'!C:C,B46,' 2-3-6. Travel&amp;Costs of Stay'!B:B,$D$21)+SUMIFS(' 2-3-6. Travel&amp;Costs of Stay'!P:P,' 2-3-6. Travel&amp;Costs of Stay'!C:C,B46,' 2-3-6. Travel&amp;Costs of Stay'!B:B,$D$21)+SUMIFS('4. Equipment Costs'!H:H,'4. Equipment Costs'!C:C,B46,'4. Equipment Costs'!B:B,$D$21)+SUMIFS('5. Subcontracting Costs'!H:H,'5. Subcontracting Costs'!C:C,B46,'5. Subcontracting Costs'!B:B,$D$21)+SUMIFS(' 2-3-6. Travel&amp;Costs of Stay'!N:N,' 2-3-6. Travel&amp;Costs of Stay'!C:C,B46,' 2-3-6. Travel&amp;Costs of Stay'!B:B,$D$21)</f>
        <v>0</v>
      </c>
      <c r="E46" s="22">
        <f>SUMIFS('1. Staff costs'!S:S,'1. Staff costs'!C:C,B46,'1. Staff costs'!B:B,$E$21)+SUMIFS(' 2-3-6. Travel&amp;Costs of Stay'!O:O,' 2-3-6. Travel&amp;Costs of Stay'!C:C,B46,' 2-3-6. Travel&amp;Costs of Stay'!B:B,$E$21)+SUMIFS(' 2-3-6. Travel&amp;Costs of Stay'!P:P,' 2-3-6. Travel&amp;Costs of Stay'!C:C,B46,' 2-3-6. Travel&amp;Costs of Stay'!B:B,$E$21)+SUMIFS('4. Equipment Costs'!H:H,'4. Equipment Costs'!C:C,B46,'4. Equipment Costs'!B:B,$E$21)+SUMIFS('5. Subcontracting Costs'!H:H,'5. Subcontracting Costs'!C:C,B46,'5. Subcontracting Costs'!B:B,$E$21)+SUMIFS(' 2-3-6. Travel&amp;Costs of Stay'!N:N,' 2-3-6. Travel&amp;Costs of Stay'!C:C,B46,' 2-3-6. Travel&amp;Costs of Stay'!B:B,$E$21)</f>
        <v>0</v>
      </c>
      <c r="F46" s="22">
        <f>SUMIFS('1. Staff costs'!S:S,'1. Staff costs'!C:C,B46,'1. Staff costs'!B:B,$F$21)+SUMIFS(' 2-3-6. Travel&amp;Costs of Stay'!O:O,' 2-3-6. Travel&amp;Costs of Stay'!C:C,B46,' 2-3-6. Travel&amp;Costs of Stay'!B:B,$F$21)+SUMIFS(' 2-3-6. Travel&amp;Costs of Stay'!P:P,' 2-3-6. Travel&amp;Costs of Stay'!C:C,B46,' 2-3-6. Travel&amp;Costs of Stay'!B:B,$F$21)+SUMIFS('4. Equipment Costs'!H:H,'4. Equipment Costs'!C:C,B46,'4. Equipment Costs'!B:B,$F$21)+SUMIFS('5. Subcontracting Costs'!H:H,'5. Subcontracting Costs'!C:C,B46,'5. Subcontracting Costs'!B:B,$F$21)+SUMIFS(' 2-3-6. Travel&amp;Costs of Stay'!N:N,' 2-3-6. Travel&amp;Costs of Stay'!C:C,B46,' 2-3-6. Travel&amp;Costs of Stay'!B:B,$F$21)</f>
        <v>0</v>
      </c>
      <c r="G46" s="22">
        <f>SUMIFS('1. Staff costs'!S:S,'1. Staff costs'!C:C,B46,'1. Staff costs'!B:B,$G$21)+SUMIFS(' 2-3-6. Travel&amp;Costs of Stay'!O:O,' 2-3-6. Travel&amp;Costs of Stay'!C:C,B46,' 2-3-6. Travel&amp;Costs of Stay'!B:B,$G$21)+SUMIFS(' 2-3-6. Travel&amp;Costs of Stay'!P:P,' 2-3-6. Travel&amp;Costs of Stay'!C:C,B46,' 2-3-6. Travel&amp;Costs of Stay'!B:B,$G$21)+SUMIFS('4. Equipment Costs'!H:H,'4. Equipment Costs'!C:C,B46,'4. Equipment Costs'!B:B,$G$21)+SUMIFS('5. Subcontracting Costs'!H:H,'5. Subcontracting Costs'!C:C,B46,'5. Subcontracting Costs'!B:B,$G$21)+SUMIFS(' 2-3-6. Travel&amp;Costs of Stay'!N:N,' 2-3-6. Travel&amp;Costs of Stay'!C:C,B46,' 2-3-6. Travel&amp;Costs of Stay'!B:B,$G$21)</f>
        <v>0</v>
      </c>
      <c r="H46" s="233">
        <f t="shared" si="4"/>
        <v>0</v>
      </c>
      <c r="I46" s="234"/>
    </row>
    <row r="47" spans="2:9" x14ac:dyDescent="0.35">
      <c r="B47" s="48" t="s">
        <v>74</v>
      </c>
      <c r="C47" s="22">
        <f>SUMIFS('1. Staff costs'!S:S,'1. Staff costs'!C:C,B47,'1. Staff costs'!B:B,$C$21)+SUMIFS(' 2-3-6. Travel&amp;Costs of Stay'!O:O,' 2-3-6. Travel&amp;Costs of Stay'!C:C,B47,' 2-3-6. Travel&amp;Costs of Stay'!B:B,$C$21)+SUMIFS(' 2-3-6. Travel&amp;Costs of Stay'!P:P,' 2-3-6. Travel&amp;Costs of Stay'!C:C,B47,' 2-3-6. Travel&amp;Costs of Stay'!B:B,$C$21)+SUMIFS('4. Equipment Costs'!H:H,'4. Equipment Costs'!C:C,B47,'4. Equipment Costs'!B:B,$C$21)+SUMIFS('5. Subcontracting Costs'!H:H,'5. Subcontracting Costs'!C:C,B47,'5. Subcontracting Costs'!B:B,$C$21)+SUMIFS(' 2-3-6. Travel&amp;Costs of Stay'!N:N,' 2-3-6. Travel&amp;Costs of Stay'!C:C,B47,' 2-3-6. Travel&amp;Costs of Stay'!B:B,$C$21)</f>
        <v>0</v>
      </c>
      <c r="D47" s="22">
        <f>SUMIFS('1. Staff costs'!S:S,'1. Staff costs'!C:C,B47,'1. Staff costs'!B:B,$D$21)+SUMIFS(' 2-3-6. Travel&amp;Costs of Stay'!O:O,' 2-3-6. Travel&amp;Costs of Stay'!C:C,B47,' 2-3-6. Travel&amp;Costs of Stay'!B:B,$D$21)+SUMIFS(' 2-3-6. Travel&amp;Costs of Stay'!P:P,' 2-3-6. Travel&amp;Costs of Stay'!C:C,B47,' 2-3-6. Travel&amp;Costs of Stay'!B:B,$D$21)+SUMIFS('4. Equipment Costs'!H:H,'4. Equipment Costs'!C:C,B47,'4. Equipment Costs'!B:B,$D$21)+SUMIFS('5. Subcontracting Costs'!H:H,'5. Subcontracting Costs'!C:C,B47,'5. Subcontracting Costs'!B:B,$D$21)+SUMIFS(' 2-3-6. Travel&amp;Costs of Stay'!N:N,' 2-3-6. Travel&amp;Costs of Stay'!C:C,B47,' 2-3-6. Travel&amp;Costs of Stay'!B:B,$D$21)</f>
        <v>0</v>
      </c>
      <c r="E47" s="22">
        <f>SUMIFS('1. Staff costs'!S:S,'1. Staff costs'!C:C,B47,'1. Staff costs'!B:B,$E$21)+SUMIFS(' 2-3-6. Travel&amp;Costs of Stay'!O:O,' 2-3-6. Travel&amp;Costs of Stay'!C:C,B47,' 2-3-6. Travel&amp;Costs of Stay'!B:B,$E$21)+SUMIFS(' 2-3-6. Travel&amp;Costs of Stay'!P:P,' 2-3-6. Travel&amp;Costs of Stay'!C:C,B47,' 2-3-6. Travel&amp;Costs of Stay'!B:B,$E$21)+SUMIFS('4. Equipment Costs'!H:H,'4. Equipment Costs'!C:C,B47,'4. Equipment Costs'!B:B,$E$21)+SUMIFS('5. Subcontracting Costs'!H:H,'5. Subcontracting Costs'!C:C,B47,'5. Subcontracting Costs'!B:B,$E$21)+SUMIFS(' 2-3-6. Travel&amp;Costs of Stay'!N:N,' 2-3-6. Travel&amp;Costs of Stay'!C:C,B47,' 2-3-6. Travel&amp;Costs of Stay'!B:B,$E$21)</f>
        <v>0</v>
      </c>
      <c r="F47" s="22">
        <f>SUMIFS('1. Staff costs'!S:S,'1. Staff costs'!C:C,B47,'1. Staff costs'!B:B,$F$21)+SUMIFS(' 2-3-6. Travel&amp;Costs of Stay'!O:O,' 2-3-6. Travel&amp;Costs of Stay'!C:C,B47,' 2-3-6. Travel&amp;Costs of Stay'!B:B,$F$21)+SUMIFS(' 2-3-6. Travel&amp;Costs of Stay'!P:P,' 2-3-6. Travel&amp;Costs of Stay'!C:C,B47,' 2-3-6. Travel&amp;Costs of Stay'!B:B,$F$21)+SUMIFS('4. Equipment Costs'!H:H,'4. Equipment Costs'!C:C,B47,'4. Equipment Costs'!B:B,$F$21)+SUMIFS('5. Subcontracting Costs'!H:H,'5. Subcontracting Costs'!C:C,B47,'5. Subcontracting Costs'!B:B,$F$21)+SUMIFS(' 2-3-6. Travel&amp;Costs of Stay'!N:N,' 2-3-6. Travel&amp;Costs of Stay'!C:C,B47,' 2-3-6. Travel&amp;Costs of Stay'!B:B,$F$21)</f>
        <v>0</v>
      </c>
      <c r="G47" s="22">
        <f>SUMIFS('1. Staff costs'!S:S,'1. Staff costs'!C:C,B47,'1. Staff costs'!B:B,$G$21)+SUMIFS(' 2-3-6. Travel&amp;Costs of Stay'!O:O,' 2-3-6. Travel&amp;Costs of Stay'!C:C,B47,' 2-3-6. Travel&amp;Costs of Stay'!B:B,$G$21)+SUMIFS(' 2-3-6. Travel&amp;Costs of Stay'!P:P,' 2-3-6. Travel&amp;Costs of Stay'!C:C,B47,' 2-3-6. Travel&amp;Costs of Stay'!B:B,$G$21)+SUMIFS('4. Equipment Costs'!H:H,'4. Equipment Costs'!C:C,B47,'4. Equipment Costs'!B:B,$G$21)+SUMIFS('5. Subcontracting Costs'!H:H,'5. Subcontracting Costs'!C:C,B47,'5. Subcontracting Costs'!B:B,$G$21)+SUMIFS(' 2-3-6. Travel&amp;Costs of Stay'!N:N,' 2-3-6. Travel&amp;Costs of Stay'!C:C,B47,' 2-3-6. Travel&amp;Costs of Stay'!B:B,$G$21)</f>
        <v>0</v>
      </c>
      <c r="H47" s="233">
        <f t="shared" si="4"/>
        <v>0</v>
      </c>
      <c r="I47" s="234"/>
    </row>
    <row r="48" spans="2:9" x14ac:dyDescent="0.35">
      <c r="B48" s="48" t="s">
        <v>75</v>
      </c>
      <c r="C48" s="22">
        <f>SUMIFS('1. Staff costs'!S:S,'1. Staff costs'!C:C,B48,'1. Staff costs'!B:B,$C$21)+SUMIFS(' 2-3-6. Travel&amp;Costs of Stay'!O:O,' 2-3-6. Travel&amp;Costs of Stay'!C:C,B48,' 2-3-6. Travel&amp;Costs of Stay'!B:B,$C$21)+SUMIFS(' 2-3-6. Travel&amp;Costs of Stay'!P:P,' 2-3-6. Travel&amp;Costs of Stay'!C:C,B48,' 2-3-6. Travel&amp;Costs of Stay'!B:B,$C$21)+SUMIFS('4. Equipment Costs'!H:H,'4. Equipment Costs'!C:C,B48,'4. Equipment Costs'!B:B,$C$21)+SUMIFS('5. Subcontracting Costs'!H:H,'5. Subcontracting Costs'!C:C,B48,'5. Subcontracting Costs'!B:B,$C$21)+SUMIFS(' 2-3-6. Travel&amp;Costs of Stay'!N:N,' 2-3-6. Travel&amp;Costs of Stay'!C:C,B48,' 2-3-6. Travel&amp;Costs of Stay'!B:B,$C$21)</f>
        <v>0</v>
      </c>
      <c r="D48" s="22">
        <f>SUMIFS('1. Staff costs'!S:S,'1. Staff costs'!C:C,B48,'1. Staff costs'!B:B,$D$21)+SUMIFS(' 2-3-6. Travel&amp;Costs of Stay'!O:O,' 2-3-6. Travel&amp;Costs of Stay'!C:C,B48,' 2-3-6. Travel&amp;Costs of Stay'!B:B,$D$21)+SUMIFS(' 2-3-6. Travel&amp;Costs of Stay'!P:P,' 2-3-6. Travel&amp;Costs of Stay'!C:C,B48,' 2-3-6. Travel&amp;Costs of Stay'!B:B,$D$21)+SUMIFS('4. Equipment Costs'!H:H,'4. Equipment Costs'!C:C,B48,'4. Equipment Costs'!B:B,$D$21)+SUMIFS('5. Subcontracting Costs'!H:H,'5. Subcontracting Costs'!C:C,B48,'5. Subcontracting Costs'!B:B,$D$21)+SUMIFS(' 2-3-6. Travel&amp;Costs of Stay'!N:N,' 2-3-6. Travel&amp;Costs of Stay'!C:C,B48,' 2-3-6. Travel&amp;Costs of Stay'!B:B,$D$21)</f>
        <v>0</v>
      </c>
      <c r="E48" s="22">
        <f>SUMIFS('1. Staff costs'!S:S,'1. Staff costs'!C:C,B48,'1. Staff costs'!B:B,$E$21)+SUMIFS(' 2-3-6. Travel&amp;Costs of Stay'!O:O,' 2-3-6. Travel&amp;Costs of Stay'!C:C,B48,' 2-3-6. Travel&amp;Costs of Stay'!B:B,$E$21)+SUMIFS(' 2-3-6. Travel&amp;Costs of Stay'!P:P,' 2-3-6. Travel&amp;Costs of Stay'!C:C,B48,' 2-3-6. Travel&amp;Costs of Stay'!B:B,$E$21)+SUMIFS('4. Equipment Costs'!H:H,'4. Equipment Costs'!C:C,B48,'4. Equipment Costs'!B:B,$E$21)+SUMIFS('5. Subcontracting Costs'!H:H,'5. Subcontracting Costs'!C:C,B48,'5. Subcontracting Costs'!B:B,$E$21)+SUMIFS(' 2-3-6. Travel&amp;Costs of Stay'!N:N,' 2-3-6. Travel&amp;Costs of Stay'!C:C,B48,' 2-3-6. Travel&amp;Costs of Stay'!B:B,$E$21)</f>
        <v>0</v>
      </c>
      <c r="F48" s="22">
        <f>SUMIFS('1. Staff costs'!S:S,'1. Staff costs'!C:C,B48,'1. Staff costs'!B:B,$F$21)+SUMIFS(' 2-3-6. Travel&amp;Costs of Stay'!O:O,' 2-3-6. Travel&amp;Costs of Stay'!C:C,B48,' 2-3-6. Travel&amp;Costs of Stay'!B:B,$F$21)+SUMIFS(' 2-3-6. Travel&amp;Costs of Stay'!P:P,' 2-3-6. Travel&amp;Costs of Stay'!C:C,B48,' 2-3-6. Travel&amp;Costs of Stay'!B:B,$F$21)+SUMIFS('4. Equipment Costs'!H:H,'4. Equipment Costs'!C:C,B48,'4. Equipment Costs'!B:B,$F$21)+SUMIFS('5. Subcontracting Costs'!H:H,'5. Subcontracting Costs'!C:C,B48,'5. Subcontracting Costs'!B:B,$F$21)+SUMIFS(' 2-3-6. Travel&amp;Costs of Stay'!N:N,' 2-3-6. Travel&amp;Costs of Stay'!C:C,B48,' 2-3-6. Travel&amp;Costs of Stay'!B:B,$F$21)</f>
        <v>0</v>
      </c>
      <c r="G48" s="22">
        <f>SUMIFS('1. Staff costs'!S:S,'1. Staff costs'!C:C,B48,'1. Staff costs'!B:B,$G$21)+SUMIFS(' 2-3-6. Travel&amp;Costs of Stay'!O:O,' 2-3-6. Travel&amp;Costs of Stay'!C:C,B48,' 2-3-6. Travel&amp;Costs of Stay'!B:B,$G$21)+SUMIFS(' 2-3-6. Travel&amp;Costs of Stay'!P:P,' 2-3-6. Travel&amp;Costs of Stay'!C:C,B48,' 2-3-6. Travel&amp;Costs of Stay'!B:B,$G$21)+SUMIFS('4. Equipment Costs'!H:H,'4. Equipment Costs'!C:C,B48,'4. Equipment Costs'!B:B,$G$21)+SUMIFS('5. Subcontracting Costs'!H:H,'5. Subcontracting Costs'!C:C,B48,'5. Subcontracting Costs'!B:B,$G$21)+SUMIFS(' 2-3-6. Travel&amp;Costs of Stay'!N:N,' 2-3-6. Travel&amp;Costs of Stay'!C:C,B48,' 2-3-6. Travel&amp;Costs of Stay'!B:B,$G$21)</f>
        <v>0</v>
      </c>
      <c r="H48" s="233">
        <f t="shared" si="4"/>
        <v>0</v>
      </c>
      <c r="I48" s="234"/>
    </row>
    <row r="49" spans="2:9" x14ac:dyDescent="0.35">
      <c r="B49" s="48" t="s">
        <v>76</v>
      </c>
      <c r="C49" s="22">
        <f>SUMIFS('1. Staff costs'!S:S,'1. Staff costs'!C:C,B49,'1. Staff costs'!B:B,$C$21)+SUMIFS(' 2-3-6. Travel&amp;Costs of Stay'!O:O,' 2-3-6. Travel&amp;Costs of Stay'!C:C,B49,' 2-3-6. Travel&amp;Costs of Stay'!B:B,$C$21)+SUMIFS(' 2-3-6. Travel&amp;Costs of Stay'!P:P,' 2-3-6. Travel&amp;Costs of Stay'!C:C,B49,' 2-3-6. Travel&amp;Costs of Stay'!B:B,$C$21)+SUMIFS('4. Equipment Costs'!H:H,'4. Equipment Costs'!C:C,B49,'4. Equipment Costs'!B:B,$C$21)+SUMIFS('5. Subcontracting Costs'!H:H,'5. Subcontracting Costs'!C:C,B49,'5. Subcontracting Costs'!B:B,$C$21)+SUMIFS(' 2-3-6. Travel&amp;Costs of Stay'!N:N,' 2-3-6. Travel&amp;Costs of Stay'!C:C,B49,' 2-3-6. Travel&amp;Costs of Stay'!B:B,$C$21)</f>
        <v>0</v>
      </c>
      <c r="D49" s="22">
        <f>SUMIFS('1. Staff costs'!S:S,'1. Staff costs'!C:C,B49,'1. Staff costs'!B:B,$D$21)+SUMIFS(' 2-3-6. Travel&amp;Costs of Stay'!O:O,' 2-3-6. Travel&amp;Costs of Stay'!C:C,B49,' 2-3-6. Travel&amp;Costs of Stay'!B:B,$D$21)+SUMIFS(' 2-3-6. Travel&amp;Costs of Stay'!P:P,' 2-3-6. Travel&amp;Costs of Stay'!C:C,B49,' 2-3-6. Travel&amp;Costs of Stay'!B:B,$D$21)+SUMIFS('4. Equipment Costs'!H:H,'4. Equipment Costs'!C:C,B49,'4. Equipment Costs'!B:B,$D$21)+SUMIFS('5. Subcontracting Costs'!H:H,'5. Subcontracting Costs'!C:C,B49,'5. Subcontracting Costs'!B:B,$D$21)+SUMIFS(' 2-3-6. Travel&amp;Costs of Stay'!N:N,' 2-3-6. Travel&amp;Costs of Stay'!C:C,B49,' 2-3-6. Travel&amp;Costs of Stay'!B:B,$D$21)</f>
        <v>0</v>
      </c>
      <c r="E49" s="22">
        <f>SUMIFS('1. Staff costs'!S:S,'1. Staff costs'!C:C,B49,'1. Staff costs'!B:B,$E$21)+SUMIFS(' 2-3-6. Travel&amp;Costs of Stay'!O:O,' 2-3-6. Travel&amp;Costs of Stay'!C:C,B49,' 2-3-6. Travel&amp;Costs of Stay'!B:B,$E$21)+SUMIFS(' 2-3-6. Travel&amp;Costs of Stay'!P:P,' 2-3-6. Travel&amp;Costs of Stay'!C:C,B49,' 2-3-6. Travel&amp;Costs of Stay'!B:B,$E$21)+SUMIFS('4. Equipment Costs'!H:H,'4. Equipment Costs'!C:C,B49,'4. Equipment Costs'!B:B,$E$21)+SUMIFS('5. Subcontracting Costs'!H:H,'5. Subcontracting Costs'!C:C,B49,'5. Subcontracting Costs'!B:B,$E$21)+SUMIFS(' 2-3-6. Travel&amp;Costs of Stay'!N:N,' 2-3-6. Travel&amp;Costs of Stay'!C:C,B49,' 2-3-6. Travel&amp;Costs of Stay'!B:B,$E$21)</f>
        <v>0</v>
      </c>
      <c r="F49" s="22">
        <f>SUMIFS('1. Staff costs'!S:S,'1. Staff costs'!C:C,B49,'1. Staff costs'!B:B,$F$21)+SUMIFS(' 2-3-6. Travel&amp;Costs of Stay'!O:O,' 2-3-6. Travel&amp;Costs of Stay'!C:C,B49,' 2-3-6. Travel&amp;Costs of Stay'!B:B,$F$21)+SUMIFS(' 2-3-6. Travel&amp;Costs of Stay'!P:P,' 2-3-6. Travel&amp;Costs of Stay'!C:C,B49,' 2-3-6. Travel&amp;Costs of Stay'!B:B,$F$21)+SUMIFS('4. Equipment Costs'!H:H,'4. Equipment Costs'!C:C,B49,'4. Equipment Costs'!B:B,$F$21)+SUMIFS('5. Subcontracting Costs'!H:H,'5. Subcontracting Costs'!C:C,B49,'5. Subcontracting Costs'!B:B,$F$21)+SUMIFS(' 2-3-6. Travel&amp;Costs of Stay'!N:N,' 2-3-6. Travel&amp;Costs of Stay'!C:C,B49,' 2-3-6. Travel&amp;Costs of Stay'!B:B,$F$21)</f>
        <v>0</v>
      </c>
      <c r="G49" s="22">
        <f>SUMIFS('1. Staff costs'!S:S,'1. Staff costs'!C:C,B49,'1. Staff costs'!B:B,$G$21)+SUMIFS(' 2-3-6. Travel&amp;Costs of Stay'!O:O,' 2-3-6. Travel&amp;Costs of Stay'!C:C,B49,' 2-3-6. Travel&amp;Costs of Stay'!B:B,$G$21)+SUMIFS(' 2-3-6. Travel&amp;Costs of Stay'!P:P,' 2-3-6. Travel&amp;Costs of Stay'!C:C,B49,' 2-3-6. Travel&amp;Costs of Stay'!B:B,$G$21)+SUMIFS('4. Equipment Costs'!H:H,'4. Equipment Costs'!C:C,B49,'4. Equipment Costs'!B:B,$G$21)+SUMIFS('5. Subcontracting Costs'!H:H,'5. Subcontracting Costs'!C:C,B49,'5. Subcontracting Costs'!B:B,$G$21)+SUMIFS(' 2-3-6. Travel&amp;Costs of Stay'!N:N,' 2-3-6. Travel&amp;Costs of Stay'!C:C,B49,' 2-3-6. Travel&amp;Costs of Stay'!B:B,$G$21)</f>
        <v>0</v>
      </c>
      <c r="H49" s="233">
        <f t="shared" si="4"/>
        <v>0</v>
      </c>
      <c r="I49" s="234"/>
    </row>
    <row r="50" spans="2:9" x14ac:dyDescent="0.35">
      <c r="B50" s="48" t="s">
        <v>77</v>
      </c>
      <c r="C50" s="22">
        <f>SUMIFS('1. Staff costs'!S:S,'1. Staff costs'!C:C,B50,'1. Staff costs'!B:B,$C$21)+SUMIFS(' 2-3-6. Travel&amp;Costs of Stay'!O:O,' 2-3-6. Travel&amp;Costs of Stay'!C:C,B50,' 2-3-6. Travel&amp;Costs of Stay'!B:B,$C$21)+SUMIFS(' 2-3-6. Travel&amp;Costs of Stay'!P:P,' 2-3-6. Travel&amp;Costs of Stay'!C:C,B50,' 2-3-6. Travel&amp;Costs of Stay'!B:B,$C$21)+SUMIFS('4. Equipment Costs'!H:H,'4. Equipment Costs'!C:C,B50,'4. Equipment Costs'!B:B,$C$21)+SUMIFS('5. Subcontracting Costs'!H:H,'5. Subcontracting Costs'!C:C,B50,'5. Subcontracting Costs'!B:B,$C$21)+SUMIFS(' 2-3-6. Travel&amp;Costs of Stay'!N:N,' 2-3-6. Travel&amp;Costs of Stay'!C:C,B50,' 2-3-6. Travel&amp;Costs of Stay'!B:B,$C$21)</f>
        <v>0</v>
      </c>
      <c r="D50" s="22">
        <f>SUMIFS('1. Staff costs'!S:S,'1. Staff costs'!C:C,B50,'1. Staff costs'!B:B,$D$21)+SUMIFS(' 2-3-6. Travel&amp;Costs of Stay'!O:O,' 2-3-6. Travel&amp;Costs of Stay'!C:C,B50,' 2-3-6. Travel&amp;Costs of Stay'!B:B,$D$21)+SUMIFS(' 2-3-6. Travel&amp;Costs of Stay'!P:P,' 2-3-6. Travel&amp;Costs of Stay'!C:C,B50,' 2-3-6. Travel&amp;Costs of Stay'!B:B,$D$21)+SUMIFS('4. Equipment Costs'!H:H,'4. Equipment Costs'!C:C,B50,'4. Equipment Costs'!B:B,$D$21)+SUMIFS('5. Subcontracting Costs'!H:H,'5. Subcontracting Costs'!C:C,B50,'5. Subcontracting Costs'!B:B,$D$21)+SUMIFS(' 2-3-6. Travel&amp;Costs of Stay'!N:N,' 2-3-6. Travel&amp;Costs of Stay'!C:C,B50,' 2-3-6. Travel&amp;Costs of Stay'!B:B,$D$21)</f>
        <v>0</v>
      </c>
      <c r="E50" s="22">
        <f>SUMIFS('1. Staff costs'!S:S,'1. Staff costs'!C:C,B50,'1. Staff costs'!B:B,$E$21)+SUMIFS(' 2-3-6. Travel&amp;Costs of Stay'!O:O,' 2-3-6. Travel&amp;Costs of Stay'!C:C,B50,' 2-3-6. Travel&amp;Costs of Stay'!B:B,$E$21)+SUMIFS(' 2-3-6. Travel&amp;Costs of Stay'!P:P,' 2-3-6. Travel&amp;Costs of Stay'!C:C,B50,' 2-3-6. Travel&amp;Costs of Stay'!B:B,$E$21)+SUMIFS('4. Equipment Costs'!H:H,'4. Equipment Costs'!C:C,B50,'4. Equipment Costs'!B:B,$E$21)+SUMIFS('5. Subcontracting Costs'!H:H,'5. Subcontracting Costs'!C:C,B50,'5. Subcontracting Costs'!B:B,$E$21)+SUMIFS(' 2-3-6. Travel&amp;Costs of Stay'!N:N,' 2-3-6. Travel&amp;Costs of Stay'!C:C,B50,' 2-3-6. Travel&amp;Costs of Stay'!B:B,$E$21)</f>
        <v>0</v>
      </c>
      <c r="F50" s="22">
        <f>SUMIFS('1. Staff costs'!S:S,'1. Staff costs'!C:C,B50,'1. Staff costs'!B:B,$F$21)+SUMIFS(' 2-3-6. Travel&amp;Costs of Stay'!O:O,' 2-3-6. Travel&amp;Costs of Stay'!C:C,B50,' 2-3-6. Travel&amp;Costs of Stay'!B:B,$F$21)+SUMIFS(' 2-3-6. Travel&amp;Costs of Stay'!P:P,' 2-3-6. Travel&amp;Costs of Stay'!C:C,B50,' 2-3-6. Travel&amp;Costs of Stay'!B:B,$F$21)+SUMIFS('4. Equipment Costs'!H:H,'4. Equipment Costs'!C:C,B50,'4. Equipment Costs'!B:B,$F$21)+SUMIFS('5. Subcontracting Costs'!H:H,'5. Subcontracting Costs'!C:C,B50,'5. Subcontracting Costs'!B:B,$F$21)+SUMIFS(' 2-3-6. Travel&amp;Costs of Stay'!N:N,' 2-3-6. Travel&amp;Costs of Stay'!C:C,B50,' 2-3-6. Travel&amp;Costs of Stay'!B:B,$F$21)</f>
        <v>0</v>
      </c>
      <c r="G50" s="22">
        <f>SUMIFS('1. Staff costs'!S:S,'1. Staff costs'!C:C,B50,'1. Staff costs'!B:B,$G$21)+SUMIFS(' 2-3-6. Travel&amp;Costs of Stay'!O:O,' 2-3-6. Travel&amp;Costs of Stay'!C:C,B50,' 2-3-6. Travel&amp;Costs of Stay'!B:B,$G$21)+SUMIFS(' 2-3-6. Travel&amp;Costs of Stay'!P:P,' 2-3-6. Travel&amp;Costs of Stay'!C:C,B50,' 2-3-6. Travel&amp;Costs of Stay'!B:B,$G$21)+SUMIFS('4. Equipment Costs'!H:H,'4. Equipment Costs'!C:C,B50,'4. Equipment Costs'!B:B,$G$21)+SUMIFS('5. Subcontracting Costs'!H:H,'5. Subcontracting Costs'!C:C,B50,'5. Subcontracting Costs'!B:B,$G$21)+SUMIFS(' 2-3-6. Travel&amp;Costs of Stay'!N:N,' 2-3-6. Travel&amp;Costs of Stay'!C:C,B50,' 2-3-6. Travel&amp;Costs of Stay'!B:B,$G$21)</f>
        <v>0</v>
      </c>
      <c r="H50" s="233">
        <f t="shared" si="4"/>
        <v>0</v>
      </c>
      <c r="I50" s="234"/>
    </row>
    <row r="51" spans="2:9" x14ac:dyDescent="0.35">
      <c r="B51" s="48" t="s">
        <v>78</v>
      </c>
      <c r="C51" s="22">
        <f>SUMIFS('1. Staff costs'!S:S,'1. Staff costs'!C:C,B51,'1. Staff costs'!B:B,$C$21)+SUMIFS(' 2-3-6. Travel&amp;Costs of Stay'!O:O,' 2-3-6. Travel&amp;Costs of Stay'!C:C,B51,' 2-3-6. Travel&amp;Costs of Stay'!B:B,$C$21)+SUMIFS(' 2-3-6. Travel&amp;Costs of Stay'!P:P,' 2-3-6. Travel&amp;Costs of Stay'!C:C,B51,' 2-3-6. Travel&amp;Costs of Stay'!B:B,$C$21)+SUMIFS('4. Equipment Costs'!H:H,'4. Equipment Costs'!C:C,B51,'4. Equipment Costs'!B:B,$C$21)+SUMIFS('5. Subcontracting Costs'!H:H,'5. Subcontracting Costs'!C:C,B51,'5. Subcontracting Costs'!B:B,$C$21)+SUMIFS(' 2-3-6. Travel&amp;Costs of Stay'!N:N,' 2-3-6. Travel&amp;Costs of Stay'!C:C,B51,' 2-3-6. Travel&amp;Costs of Stay'!B:B,$C$21)</f>
        <v>0</v>
      </c>
      <c r="D51" s="22">
        <f>SUMIFS('1. Staff costs'!S:S,'1. Staff costs'!C:C,B51,'1. Staff costs'!B:B,$D$21)+SUMIFS(' 2-3-6. Travel&amp;Costs of Stay'!O:O,' 2-3-6. Travel&amp;Costs of Stay'!C:C,B51,' 2-3-6. Travel&amp;Costs of Stay'!B:B,$D$21)+SUMIFS(' 2-3-6. Travel&amp;Costs of Stay'!P:P,' 2-3-6. Travel&amp;Costs of Stay'!C:C,B51,' 2-3-6. Travel&amp;Costs of Stay'!B:B,$D$21)+SUMIFS('4. Equipment Costs'!H:H,'4. Equipment Costs'!C:C,B51,'4. Equipment Costs'!B:B,$D$21)+SUMIFS('5. Subcontracting Costs'!H:H,'5. Subcontracting Costs'!C:C,B51,'5. Subcontracting Costs'!B:B,$D$21)+SUMIFS(' 2-3-6. Travel&amp;Costs of Stay'!N:N,' 2-3-6. Travel&amp;Costs of Stay'!C:C,B51,' 2-3-6. Travel&amp;Costs of Stay'!B:B,$D$21)</f>
        <v>0</v>
      </c>
      <c r="E51" s="22">
        <f>SUMIFS('1. Staff costs'!S:S,'1. Staff costs'!C:C,B51,'1. Staff costs'!B:B,$E$21)+SUMIFS(' 2-3-6. Travel&amp;Costs of Stay'!O:O,' 2-3-6. Travel&amp;Costs of Stay'!C:C,B51,' 2-3-6. Travel&amp;Costs of Stay'!B:B,$E$21)+SUMIFS(' 2-3-6. Travel&amp;Costs of Stay'!P:P,' 2-3-6. Travel&amp;Costs of Stay'!C:C,B51,' 2-3-6. Travel&amp;Costs of Stay'!B:B,$E$21)+SUMIFS('4. Equipment Costs'!H:H,'4. Equipment Costs'!C:C,B51,'4. Equipment Costs'!B:B,$E$21)+SUMIFS('5. Subcontracting Costs'!H:H,'5. Subcontracting Costs'!C:C,B51,'5. Subcontracting Costs'!B:B,$E$21)+SUMIFS(' 2-3-6. Travel&amp;Costs of Stay'!N:N,' 2-3-6. Travel&amp;Costs of Stay'!C:C,B51,' 2-3-6. Travel&amp;Costs of Stay'!B:B,$E$21)</f>
        <v>0</v>
      </c>
      <c r="F51" s="22">
        <f>SUMIFS('1. Staff costs'!S:S,'1. Staff costs'!C:C,B51,'1. Staff costs'!B:B,$F$21)+SUMIFS(' 2-3-6. Travel&amp;Costs of Stay'!O:O,' 2-3-6. Travel&amp;Costs of Stay'!C:C,B51,' 2-3-6. Travel&amp;Costs of Stay'!B:B,$F$21)+SUMIFS(' 2-3-6. Travel&amp;Costs of Stay'!P:P,' 2-3-6. Travel&amp;Costs of Stay'!C:C,B51,' 2-3-6. Travel&amp;Costs of Stay'!B:B,$F$21)+SUMIFS('4. Equipment Costs'!H:H,'4. Equipment Costs'!C:C,B51,'4. Equipment Costs'!B:B,$F$21)+SUMIFS('5. Subcontracting Costs'!H:H,'5. Subcontracting Costs'!C:C,B51,'5. Subcontracting Costs'!B:B,$F$21)+SUMIFS(' 2-3-6. Travel&amp;Costs of Stay'!N:N,' 2-3-6. Travel&amp;Costs of Stay'!C:C,B51,' 2-3-6. Travel&amp;Costs of Stay'!B:B,$F$21)</f>
        <v>0</v>
      </c>
      <c r="G51" s="22">
        <f>SUMIFS('1. Staff costs'!S:S,'1. Staff costs'!C:C,B51,'1. Staff costs'!B:B,$G$21)+SUMIFS(' 2-3-6. Travel&amp;Costs of Stay'!O:O,' 2-3-6. Travel&amp;Costs of Stay'!C:C,B51,' 2-3-6. Travel&amp;Costs of Stay'!B:B,$G$21)+SUMIFS(' 2-3-6. Travel&amp;Costs of Stay'!P:P,' 2-3-6. Travel&amp;Costs of Stay'!C:C,B51,' 2-3-6. Travel&amp;Costs of Stay'!B:B,$G$21)+SUMIFS('4. Equipment Costs'!H:H,'4. Equipment Costs'!C:C,B51,'4. Equipment Costs'!B:B,$G$21)+SUMIFS('5. Subcontracting Costs'!H:H,'5. Subcontracting Costs'!C:C,B51,'5. Subcontracting Costs'!B:B,$G$21)+SUMIFS(' 2-3-6. Travel&amp;Costs of Stay'!N:N,' 2-3-6. Travel&amp;Costs of Stay'!C:C,B51,' 2-3-6. Travel&amp;Costs of Stay'!B:B,$G$21)</f>
        <v>0</v>
      </c>
      <c r="H51" s="233">
        <f t="shared" si="4"/>
        <v>0</v>
      </c>
      <c r="I51" s="234"/>
    </row>
    <row r="52" spans="2:9" x14ac:dyDescent="0.35">
      <c r="B52" s="48" t="s">
        <v>79</v>
      </c>
      <c r="C52" s="22">
        <f>SUMIFS('1. Staff costs'!S:S,'1. Staff costs'!C:C,B52,'1. Staff costs'!B:B,$C$21)+SUMIFS(' 2-3-6. Travel&amp;Costs of Stay'!O:O,' 2-3-6. Travel&amp;Costs of Stay'!C:C,B52,' 2-3-6. Travel&amp;Costs of Stay'!B:B,$C$21)+SUMIFS(' 2-3-6. Travel&amp;Costs of Stay'!P:P,' 2-3-6. Travel&amp;Costs of Stay'!C:C,B52,' 2-3-6. Travel&amp;Costs of Stay'!B:B,$C$21)+SUMIFS('4. Equipment Costs'!H:H,'4. Equipment Costs'!C:C,B52,'4. Equipment Costs'!B:B,$C$21)+SUMIFS('5. Subcontracting Costs'!H:H,'5. Subcontracting Costs'!C:C,B52,'5. Subcontracting Costs'!B:B,$C$21)+SUMIFS(' 2-3-6. Travel&amp;Costs of Stay'!N:N,' 2-3-6. Travel&amp;Costs of Stay'!C:C,B52,' 2-3-6. Travel&amp;Costs of Stay'!B:B,$C$21)</f>
        <v>0</v>
      </c>
      <c r="D52" s="22">
        <f>SUMIFS('1. Staff costs'!S:S,'1. Staff costs'!C:C,B52,'1. Staff costs'!B:B,$D$21)+SUMIFS(' 2-3-6. Travel&amp;Costs of Stay'!O:O,' 2-3-6. Travel&amp;Costs of Stay'!C:C,B52,' 2-3-6. Travel&amp;Costs of Stay'!B:B,$D$21)+SUMIFS(' 2-3-6. Travel&amp;Costs of Stay'!P:P,' 2-3-6. Travel&amp;Costs of Stay'!C:C,B52,' 2-3-6. Travel&amp;Costs of Stay'!B:B,$D$21)+SUMIFS('4. Equipment Costs'!H:H,'4. Equipment Costs'!C:C,B52,'4. Equipment Costs'!B:B,$D$21)+SUMIFS('5. Subcontracting Costs'!H:H,'5. Subcontracting Costs'!C:C,B52,'5. Subcontracting Costs'!B:B,$D$21)+SUMIFS(' 2-3-6. Travel&amp;Costs of Stay'!N:N,' 2-3-6. Travel&amp;Costs of Stay'!C:C,B52,' 2-3-6. Travel&amp;Costs of Stay'!B:B,$D$21)</f>
        <v>0</v>
      </c>
      <c r="E52" s="22">
        <f>SUMIFS('1. Staff costs'!S:S,'1. Staff costs'!C:C,B52,'1. Staff costs'!B:B,$E$21)+SUMIFS(' 2-3-6. Travel&amp;Costs of Stay'!O:O,' 2-3-6. Travel&amp;Costs of Stay'!C:C,B52,' 2-3-6. Travel&amp;Costs of Stay'!B:B,$E$21)+SUMIFS(' 2-3-6. Travel&amp;Costs of Stay'!P:P,' 2-3-6. Travel&amp;Costs of Stay'!C:C,B52,' 2-3-6. Travel&amp;Costs of Stay'!B:B,$E$21)+SUMIFS('4. Equipment Costs'!H:H,'4. Equipment Costs'!C:C,B52,'4. Equipment Costs'!B:B,$E$21)+SUMIFS('5. Subcontracting Costs'!H:H,'5. Subcontracting Costs'!C:C,B52,'5. Subcontracting Costs'!B:B,$E$21)+SUMIFS(' 2-3-6. Travel&amp;Costs of Stay'!N:N,' 2-3-6. Travel&amp;Costs of Stay'!C:C,B52,' 2-3-6. Travel&amp;Costs of Stay'!B:B,$E$21)</f>
        <v>0</v>
      </c>
      <c r="F52" s="22">
        <f>SUMIFS('1. Staff costs'!S:S,'1. Staff costs'!C:C,B52,'1. Staff costs'!B:B,$F$21)+SUMIFS(' 2-3-6. Travel&amp;Costs of Stay'!O:O,' 2-3-6. Travel&amp;Costs of Stay'!C:C,B52,' 2-3-6. Travel&amp;Costs of Stay'!B:B,$F$21)+SUMIFS(' 2-3-6. Travel&amp;Costs of Stay'!P:P,' 2-3-6. Travel&amp;Costs of Stay'!C:C,B52,' 2-3-6. Travel&amp;Costs of Stay'!B:B,$F$21)+SUMIFS('4. Equipment Costs'!H:H,'4. Equipment Costs'!C:C,B52,'4. Equipment Costs'!B:B,$F$21)+SUMIFS('5. Subcontracting Costs'!H:H,'5. Subcontracting Costs'!C:C,B52,'5. Subcontracting Costs'!B:B,$F$21)+SUMIFS(' 2-3-6. Travel&amp;Costs of Stay'!N:N,' 2-3-6. Travel&amp;Costs of Stay'!C:C,B52,' 2-3-6. Travel&amp;Costs of Stay'!B:B,$F$21)</f>
        <v>0</v>
      </c>
      <c r="G52" s="22">
        <f>SUMIFS('1. Staff costs'!S:S,'1. Staff costs'!C:C,B52,'1. Staff costs'!B:B,$G$21)+SUMIFS(' 2-3-6. Travel&amp;Costs of Stay'!O:O,' 2-3-6. Travel&amp;Costs of Stay'!C:C,B52,' 2-3-6. Travel&amp;Costs of Stay'!B:B,$G$21)+SUMIFS(' 2-3-6. Travel&amp;Costs of Stay'!P:P,' 2-3-6. Travel&amp;Costs of Stay'!C:C,B52,' 2-3-6. Travel&amp;Costs of Stay'!B:B,$G$21)+SUMIFS('4. Equipment Costs'!H:H,'4. Equipment Costs'!C:C,B52,'4. Equipment Costs'!B:B,$G$21)+SUMIFS('5. Subcontracting Costs'!H:H,'5. Subcontracting Costs'!C:C,B52,'5. Subcontracting Costs'!B:B,$G$21)+SUMIFS(' 2-3-6. Travel&amp;Costs of Stay'!N:N,' 2-3-6. Travel&amp;Costs of Stay'!C:C,B52,' 2-3-6. Travel&amp;Costs of Stay'!B:B,$G$21)</f>
        <v>0</v>
      </c>
      <c r="H52" s="233">
        <f t="shared" si="4"/>
        <v>0</v>
      </c>
      <c r="I52" s="234"/>
    </row>
    <row r="53" spans="2:9" x14ac:dyDescent="0.35">
      <c r="B53" s="48" t="s">
        <v>80</v>
      </c>
      <c r="C53" s="22">
        <f>SUMIFS('1. Staff costs'!S:S,'1. Staff costs'!C:C,B53,'1. Staff costs'!B:B,$C$21)+SUMIFS(' 2-3-6. Travel&amp;Costs of Stay'!O:O,' 2-3-6. Travel&amp;Costs of Stay'!C:C,B53,' 2-3-6. Travel&amp;Costs of Stay'!B:B,$C$21)+SUMIFS(' 2-3-6. Travel&amp;Costs of Stay'!P:P,' 2-3-6. Travel&amp;Costs of Stay'!C:C,B53,' 2-3-6. Travel&amp;Costs of Stay'!B:B,$C$21)+SUMIFS('4. Equipment Costs'!H:H,'4. Equipment Costs'!C:C,B53,'4. Equipment Costs'!B:B,$C$21)+SUMIFS('5. Subcontracting Costs'!H:H,'5. Subcontracting Costs'!C:C,B53,'5. Subcontracting Costs'!B:B,$C$21)+SUMIFS(' 2-3-6. Travel&amp;Costs of Stay'!N:N,' 2-3-6. Travel&amp;Costs of Stay'!C:C,B53,' 2-3-6. Travel&amp;Costs of Stay'!B:B,$C$21)</f>
        <v>0</v>
      </c>
      <c r="D53" s="22">
        <f>SUMIFS('1. Staff costs'!S:S,'1. Staff costs'!C:C,B53,'1. Staff costs'!B:B,$D$21)+SUMIFS(' 2-3-6. Travel&amp;Costs of Stay'!O:O,' 2-3-6. Travel&amp;Costs of Stay'!C:C,B53,' 2-3-6. Travel&amp;Costs of Stay'!B:B,$D$21)+SUMIFS(' 2-3-6. Travel&amp;Costs of Stay'!P:P,' 2-3-6. Travel&amp;Costs of Stay'!C:C,B53,' 2-3-6. Travel&amp;Costs of Stay'!B:B,$D$21)+SUMIFS('4. Equipment Costs'!H:H,'4. Equipment Costs'!C:C,B53,'4. Equipment Costs'!B:B,$D$21)+SUMIFS('5. Subcontracting Costs'!H:H,'5. Subcontracting Costs'!C:C,B53,'5. Subcontracting Costs'!B:B,$D$21)+SUMIFS(' 2-3-6. Travel&amp;Costs of Stay'!N:N,' 2-3-6. Travel&amp;Costs of Stay'!C:C,B53,' 2-3-6. Travel&amp;Costs of Stay'!B:B,$D$21)</f>
        <v>0</v>
      </c>
      <c r="E53" s="22">
        <f>SUMIFS('1. Staff costs'!S:S,'1. Staff costs'!C:C,B53,'1. Staff costs'!B:B,$E$21)+SUMIFS(' 2-3-6. Travel&amp;Costs of Stay'!O:O,' 2-3-6. Travel&amp;Costs of Stay'!C:C,B53,' 2-3-6. Travel&amp;Costs of Stay'!B:B,$E$21)+SUMIFS(' 2-3-6. Travel&amp;Costs of Stay'!P:P,' 2-3-6. Travel&amp;Costs of Stay'!C:C,B53,' 2-3-6. Travel&amp;Costs of Stay'!B:B,$E$21)+SUMIFS('4. Equipment Costs'!H:H,'4. Equipment Costs'!C:C,B53,'4. Equipment Costs'!B:B,$E$21)+SUMIFS('5. Subcontracting Costs'!H:H,'5. Subcontracting Costs'!C:C,B53,'5. Subcontracting Costs'!B:B,$E$21)+SUMIFS(' 2-3-6. Travel&amp;Costs of Stay'!N:N,' 2-3-6. Travel&amp;Costs of Stay'!C:C,B53,' 2-3-6. Travel&amp;Costs of Stay'!B:B,$E$21)</f>
        <v>0</v>
      </c>
      <c r="F53" s="22">
        <f>SUMIFS('1. Staff costs'!S:S,'1. Staff costs'!C:C,B53,'1. Staff costs'!B:B,$F$21)+SUMIFS(' 2-3-6. Travel&amp;Costs of Stay'!O:O,' 2-3-6. Travel&amp;Costs of Stay'!C:C,B53,' 2-3-6. Travel&amp;Costs of Stay'!B:B,$F$21)+SUMIFS(' 2-3-6. Travel&amp;Costs of Stay'!P:P,' 2-3-6. Travel&amp;Costs of Stay'!C:C,B53,' 2-3-6. Travel&amp;Costs of Stay'!B:B,$F$21)+SUMIFS('4. Equipment Costs'!H:H,'4. Equipment Costs'!C:C,B53,'4. Equipment Costs'!B:B,$F$21)+SUMIFS('5. Subcontracting Costs'!H:H,'5. Subcontracting Costs'!C:C,B53,'5. Subcontracting Costs'!B:B,$F$21)+SUMIFS(' 2-3-6. Travel&amp;Costs of Stay'!N:N,' 2-3-6. Travel&amp;Costs of Stay'!C:C,B53,' 2-3-6. Travel&amp;Costs of Stay'!B:B,$F$21)</f>
        <v>0</v>
      </c>
      <c r="G53" s="22">
        <f>SUMIFS('1. Staff costs'!S:S,'1. Staff costs'!C:C,B53,'1. Staff costs'!B:B,$G$21)+SUMIFS(' 2-3-6. Travel&amp;Costs of Stay'!O:O,' 2-3-6. Travel&amp;Costs of Stay'!C:C,B53,' 2-3-6. Travel&amp;Costs of Stay'!B:B,$G$21)+SUMIFS(' 2-3-6. Travel&amp;Costs of Stay'!P:P,' 2-3-6. Travel&amp;Costs of Stay'!C:C,B53,' 2-3-6. Travel&amp;Costs of Stay'!B:B,$G$21)+SUMIFS('4. Equipment Costs'!H:H,'4. Equipment Costs'!C:C,B53,'4. Equipment Costs'!B:B,$G$21)+SUMIFS('5. Subcontracting Costs'!H:H,'5. Subcontracting Costs'!C:C,B53,'5. Subcontracting Costs'!B:B,$G$21)+SUMIFS(' 2-3-6. Travel&amp;Costs of Stay'!N:N,' 2-3-6. Travel&amp;Costs of Stay'!C:C,B53,' 2-3-6. Travel&amp;Costs of Stay'!B:B,$G$21)</f>
        <v>0</v>
      </c>
      <c r="H53" s="233">
        <f t="shared" si="4"/>
        <v>0</v>
      </c>
      <c r="I53" s="234"/>
    </row>
    <row r="54" spans="2:9" x14ac:dyDescent="0.35">
      <c r="B54" s="48" t="s">
        <v>81</v>
      </c>
      <c r="C54" s="22">
        <f>SUMIFS('1. Staff costs'!S:S,'1. Staff costs'!C:C,B54,'1. Staff costs'!B:B,$C$21)+SUMIFS(' 2-3-6. Travel&amp;Costs of Stay'!O:O,' 2-3-6. Travel&amp;Costs of Stay'!C:C,B54,' 2-3-6. Travel&amp;Costs of Stay'!B:B,$C$21)+SUMIFS(' 2-3-6. Travel&amp;Costs of Stay'!P:P,' 2-3-6. Travel&amp;Costs of Stay'!C:C,B54,' 2-3-6. Travel&amp;Costs of Stay'!B:B,$C$21)+SUMIFS('4. Equipment Costs'!H:H,'4. Equipment Costs'!C:C,B54,'4. Equipment Costs'!B:B,$C$21)+SUMIFS('5. Subcontracting Costs'!H:H,'5. Subcontracting Costs'!C:C,B54,'5. Subcontracting Costs'!B:B,$C$21)+SUMIFS(' 2-3-6. Travel&amp;Costs of Stay'!N:N,' 2-3-6. Travel&amp;Costs of Stay'!C:C,B54,' 2-3-6. Travel&amp;Costs of Stay'!B:B,$C$21)</f>
        <v>0</v>
      </c>
      <c r="D54" s="22">
        <f>SUMIFS('1. Staff costs'!S:S,'1. Staff costs'!C:C,B54,'1. Staff costs'!B:B,$D$21)+SUMIFS(' 2-3-6. Travel&amp;Costs of Stay'!O:O,' 2-3-6. Travel&amp;Costs of Stay'!C:C,B54,' 2-3-6. Travel&amp;Costs of Stay'!B:B,$D$21)+SUMIFS(' 2-3-6. Travel&amp;Costs of Stay'!P:P,' 2-3-6. Travel&amp;Costs of Stay'!C:C,B54,' 2-3-6. Travel&amp;Costs of Stay'!B:B,$D$21)+SUMIFS('4. Equipment Costs'!H:H,'4. Equipment Costs'!C:C,B54,'4. Equipment Costs'!B:B,$D$21)+SUMIFS('5. Subcontracting Costs'!H:H,'5. Subcontracting Costs'!C:C,B54,'5. Subcontracting Costs'!B:B,$D$21)+SUMIFS(' 2-3-6. Travel&amp;Costs of Stay'!N:N,' 2-3-6. Travel&amp;Costs of Stay'!C:C,B54,' 2-3-6. Travel&amp;Costs of Stay'!B:B,$D$21)</f>
        <v>0</v>
      </c>
      <c r="E54" s="22">
        <f>SUMIFS('1. Staff costs'!S:S,'1. Staff costs'!C:C,B54,'1. Staff costs'!B:B,$E$21)+SUMIFS(' 2-3-6. Travel&amp;Costs of Stay'!O:O,' 2-3-6. Travel&amp;Costs of Stay'!C:C,B54,' 2-3-6. Travel&amp;Costs of Stay'!B:B,$E$21)+SUMIFS(' 2-3-6. Travel&amp;Costs of Stay'!P:P,' 2-3-6. Travel&amp;Costs of Stay'!C:C,B54,' 2-3-6. Travel&amp;Costs of Stay'!B:B,$E$21)+SUMIFS('4. Equipment Costs'!H:H,'4. Equipment Costs'!C:C,B54,'4. Equipment Costs'!B:B,$E$21)+SUMIFS('5. Subcontracting Costs'!H:H,'5. Subcontracting Costs'!C:C,B54,'5. Subcontracting Costs'!B:B,$E$21)+SUMIFS(' 2-3-6. Travel&amp;Costs of Stay'!N:N,' 2-3-6. Travel&amp;Costs of Stay'!C:C,B54,' 2-3-6. Travel&amp;Costs of Stay'!B:B,$E$21)</f>
        <v>0</v>
      </c>
      <c r="F54" s="22">
        <f>SUMIFS('1. Staff costs'!S:S,'1. Staff costs'!C:C,B54,'1. Staff costs'!B:B,$F$21)+SUMIFS(' 2-3-6. Travel&amp;Costs of Stay'!O:O,' 2-3-6. Travel&amp;Costs of Stay'!C:C,B54,' 2-3-6. Travel&amp;Costs of Stay'!B:B,$F$21)+SUMIFS(' 2-3-6. Travel&amp;Costs of Stay'!P:P,' 2-3-6. Travel&amp;Costs of Stay'!C:C,B54,' 2-3-6. Travel&amp;Costs of Stay'!B:B,$F$21)+SUMIFS('4. Equipment Costs'!H:H,'4. Equipment Costs'!C:C,B54,'4. Equipment Costs'!B:B,$F$21)+SUMIFS('5. Subcontracting Costs'!H:H,'5. Subcontracting Costs'!C:C,B54,'5. Subcontracting Costs'!B:B,$F$21)+SUMIFS(' 2-3-6. Travel&amp;Costs of Stay'!N:N,' 2-3-6. Travel&amp;Costs of Stay'!C:C,B54,' 2-3-6. Travel&amp;Costs of Stay'!B:B,$F$21)</f>
        <v>0</v>
      </c>
      <c r="G54" s="22">
        <f>SUMIFS('1. Staff costs'!S:S,'1. Staff costs'!C:C,B54,'1. Staff costs'!B:B,$G$21)+SUMIFS(' 2-3-6. Travel&amp;Costs of Stay'!O:O,' 2-3-6. Travel&amp;Costs of Stay'!C:C,B54,' 2-3-6. Travel&amp;Costs of Stay'!B:B,$G$21)+SUMIFS(' 2-3-6. Travel&amp;Costs of Stay'!P:P,' 2-3-6. Travel&amp;Costs of Stay'!C:C,B54,' 2-3-6. Travel&amp;Costs of Stay'!B:B,$G$21)+SUMIFS('4. Equipment Costs'!H:H,'4. Equipment Costs'!C:C,B54,'4. Equipment Costs'!B:B,$G$21)+SUMIFS('5. Subcontracting Costs'!H:H,'5. Subcontracting Costs'!C:C,B54,'5. Subcontracting Costs'!B:B,$G$21)+SUMIFS(' 2-3-6. Travel&amp;Costs of Stay'!N:N,' 2-3-6. Travel&amp;Costs of Stay'!C:C,B54,' 2-3-6. Travel&amp;Costs of Stay'!B:B,$G$21)</f>
        <v>0</v>
      </c>
      <c r="H54" s="233">
        <f t="shared" si="4"/>
        <v>0</v>
      </c>
      <c r="I54" s="234"/>
    </row>
    <row r="55" spans="2:9" x14ac:dyDescent="0.35">
      <c r="B55" s="48" t="s">
        <v>82</v>
      </c>
      <c r="C55" s="22">
        <f>SUMIFS('1. Staff costs'!S:S,'1. Staff costs'!C:C,B55,'1. Staff costs'!B:B,$C$21)+SUMIFS(' 2-3-6. Travel&amp;Costs of Stay'!O:O,' 2-3-6. Travel&amp;Costs of Stay'!C:C,B55,' 2-3-6. Travel&amp;Costs of Stay'!B:B,$C$21)+SUMIFS(' 2-3-6. Travel&amp;Costs of Stay'!P:P,' 2-3-6. Travel&amp;Costs of Stay'!C:C,B55,' 2-3-6. Travel&amp;Costs of Stay'!B:B,$C$21)+SUMIFS('4. Equipment Costs'!H:H,'4. Equipment Costs'!C:C,B55,'4. Equipment Costs'!B:B,$C$21)+SUMIFS('5. Subcontracting Costs'!H:H,'5. Subcontracting Costs'!C:C,B55,'5. Subcontracting Costs'!B:B,$C$21)+SUMIFS(' 2-3-6. Travel&amp;Costs of Stay'!N:N,' 2-3-6. Travel&amp;Costs of Stay'!C:C,B55,' 2-3-6. Travel&amp;Costs of Stay'!B:B,$C$21)</f>
        <v>0</v>
      </c>
      <c r="D55" s="22">
        <f>SUMIFS('1. Staff costs'!S:S,'1. Staff costs'!C:C,B55,'1. Staff costs'!B:B,$D$21)+SUMIFS(' 2-3-6. Travel&amp;Costs of Stay'!O:O,' 2-3-6. Travel&amp;Costs of Stay'!C:C,B55,' 2-3-6. Travel&amp;Costs of Stay'!B:B,$D$21)+SUMIFS(' 2-3-6. Travel&amp;Costs of Stay'!P:P,' 2-3-6. Travel&amp;Costs of Stay'!C:C,B55,' 2-3-6. Travel&amp;Costs of Stay'!B:B,$D$21)+SUMIFS('4. Equipment Costs'!H:H,'4. Equipment Costs'!C:C,B55,'4. Equipment Costs'!B:B,$D$21)+SUMIFS('5. Subcontracting Costs'!H:H,'5. Subcontracting Costs'!C:C,B55,'5. Subcontracting Costs'!B:B,$D$21)+SUMIFS(' 2-3-6. Travel&amp;Costs of Stay'!N:N,' 2-3-6. Travel&amp;Costs of Stay'!C:C,B55,' 2-3-6. Travel&amp;Costs of Stay'!B:B,$D$21)</f>
        <v>0</v>
      </c>
      <c r="E55" s="22">
        <f>SUMIFS('1. Staff costs'!S:S,'1. Staff costs'!C:C,B55,'1. Staff costs'!B:B,$E$21)+SUMIFS(' 2-3-6. Travel&amp;Costs of Stay'!O:O,' 2-3-6. Travel&amp;Costs of Stay'!C:C,B55,' 2-3-6. Travel&amp;Costs of Stay'!B:B,$E$21)+SUMIFS(' 2-3-6. Travel&amp;Costs of Stay'!P:P,' 2-3-6. Travel&amp;Costs of Stay'!C:C,B55,' 2-3-6. Travel&amp;Costs of Stay'!B:B,$E$21)+SUMIFS('4. Equipment Costs'!H:H,'4. Equipment Costs'!C:C,B55,'4. Equipment Costs'!B:B,$E$21)+SUMIFS('5. Subcontracting Costs'!H:H,'5. Subcontracting Costs'!C:C,B55,'5. Subcontracting Costs'!B:B,$E$21)+SUMIFS(' 2-3-6. Travel&amp;Costs of Stay'!N:N,' 2-3-6. Travel&amp;Costs of Stay'!C:C,B55,' 2-3-6. Travel&amp;Costs of Stay'!B:B,$E$21)</f>
        <v>0</v>
      </c>
      <c r="F55" s="22">
        <f>SUMIFS('1. Staff costs'!S:S,'1. Staff costs'!C:C,B55,'1. Staff costs'!B:B,$F$21)+SUMIFS(' 2-3-6. Travel&amp;Costs of Stay'!O:O,' 2-3-6. Travel&amp;Costs of Stay'!C:C,B55,' 2-3-6. Travel&amp;Costs of Stay'!B:B,$F$21)+SUMIFS(' 2-3-6. Travel&amp;Costs of Stay'!P:P,' 2-3-6. Travel&amp;Costs of Stay'!C:C,B55,' 2-3-6. Travel&amp;Costs of Stay'!B:B,$F$21)+SUMIFS('4. Equipment Costs'!H:H,'4. Equipment Costs'!C:C,B55,'4. Equipment Costs'!B:B,$F$21)+SUMIFS('5. Subcontracting Costs'!H:H,'5. Subcontracting Costs'!C:C,B55,'5. Subcontracting Costs'!B:B,$F$21)+SUMIFS(' 2-3-6. Travel&amp;Costs of Stay'!N:N,' 2-3-6. Travel&amp;Costs of Stay'!C:C,B55,' 2-3-6. Travel&amp;Costs of Stay'!B:B,$F$21)</f>
        <v>0</v>
      </c>
      <c r="G55" s="22">
        <f>SUMIFS('1. Staff costs'!S:S,'1. Staff costs'!C:C,B55,'1. Staff costs'!B:B,$G$21)+SUMIFS(' 2-3-6. Travel&amp;Costs of Stay'!O:O,' 2-3-6. Travel&amp;Costs of Stay'!C:C,B55,' 2-3-6. Travel&amp;Costs of Stay'!B:B,$G$21)+SUMIFS(' 2-3-6. Travel&amp;Costs of Stay'!P:P,' 2-3-6. Travel&amp;Costs of Stay'!C:C,B55,' 2-3-6. Travel&amp;Costs of Stay'!B:B,$G$21)+SUMIFS('4. Equipment Costs'!H:H,'4. Equipment Costs'!C:C,B55,'4. Equipment Costs'!B:B,$G$21)+SUMIFS('5. Subcontracting Costs'!H:H,'5. Subcontracting Costs'!C:C,B55,'5. Subcontracting Costs'!B:B,$G$21)+SUMIFS(' 2-3-6. Travel&amp;Costs of Stay'!N:N,' 2-3-6. Travel&amp;Costs of Stay'!C:C,B55,' 2-3-6. Travel&amp;Costs of Stay'!B:B,$G$21)</f>
        <v>0</v>
      </c>
      <c r="H55" s="233">
        <f t="shared" si="4"/>
        <v>0</v>
      </c>
      <c r="I55" s="234"/>
    </row>
    <row r="56" spans="2:9" x14ac:dyDescent="0.35">
      <c r="B56" s="48" t="s">
        <v>83</v>
      </c>
      <c r="C56" s="22">
        <f>SUMIFS('1. Staff costs'!S:S,'1. Staff costs'!C:C,B56,'1. Staff costs'!B:B,$C$21)+SUMIFS(' 2-3-6. Travel&amp;Costs of Stay'!O:O,' 2-3-6. Travel&amp;Costs of Stay'!C:C,B56,' 2-3-6. Travel&amp;Costs of Stay'!B:B,$C$21)+SUMIFS(' 2-3-6. Travel&amp;Costs of Stay'!P:P,' 2-3-6. Travel&amp;Costs of Stay'!C:C,B56,' 2-3-6. Travel&amp;Costs of Stay'!B:B,$C$21)+SUMIFS('4. Equipment Costs'!H:H,'4. Equipment Costs'!C:C,B56,'4. Equipment Costs'!B:B,$C$21)+SUMIFS('5. Subcontracting Costs'!H:H,'5. Subcontracting Costs'!C:C,B56,'5. Subcontracting Costs'!B:B,$C$21)+SUMIFS(' 2-3-6. Travel&amp;Costs of Stay'!N:N,' 2-3-6. Travel&amp;Costs of Stay'!C:C,B56,' 2-3-6. Travel&amp;Costs of Stay'!B:B,$C$21)</f>
        <v>0</v>
      </c>
      <c r="D56" s="22">
        <f>SUMIFS('1. Staff costs'!S:S,'1. Staff costs'!C:C,B56,'1. Staff costs'!B:B,$D$21)+SUMIFS(' 2-3-6. Travel&amp;Costs of Stay'!O:O,' 2-3-6. Travel&amp;Costs of Stay'!C:C,B56,' 2-3-6. Travel&amp;Costs of Stay'!B:B,$D$21)+SUMIFS(' 2-3-6. Travel&amp;Costs of Stay'!P:P,' 2-3-6. Travel&amp;Costs of Stay'!C:C,B56,' 2-3-6. Travel&amp;Costs of Stay'!B:B,$D$21)+SUMIFS('4. Equipment Costs'!H:H,'4. Equipment Costs'!C:C,B56,'4. Equipment Costs'!B:B,$D$21)+SUMIFS('5. Subcontracting Costs'!H:H,'5. Subcontracting Costs'!C:C,B56,'5. Subcontracting Costs'!B:B,$D$21)+SUMIFS(' 2-3-6. Travel&amp;Costs of Stay'!N:N,' 2-3-6. Travel&amp;Costs of Stay'!C:C,B56,' 2-3-6. Travel&amp;Costs of Stay'!B:B,$D$21)</f>
        <v>0</v>
      </c>
      <c r="E56" s="22">
        <f>SUMIFS('1. Staff costs'!S:S,'1. Staff costs'!C:C,B56,'1. Staff costs'!B:B,$E$21)+SUMIFS(' 2-3-6. Travel&amp;Costs of Stay'!O:O,' 2-3-6. Travel&amp;Costs of Stay'!C:C,B56,' 2-3-6. Travel&amp;Costs of Stay'!B:B,$E$21)+SUMIFS(' 2-3-6. Travel&amp;Costs of Stay'!P:P,' 2-3-6. Travel&amp;Costs of Stay'!C:C,B56,' 2-3-6. Travel&amp;Costs of Stay'!B:B,$E$21)+SUMIFS('4. Equipment Costs'!H:H,'4. Equipment Costs'!C:C,B56,'4. Equipment Costs'!B:B,$E$21)+SUMIFS('5. Subcontracting Costs'!H:H,'5. Subcontracting Costs'!C:C,B56,'5. Subcontracting Costs'!B:B,$E$21)+SUMIFS(' 2-3-6. Travel&amp;Costs of Stay'!N:N,' 2-3-6. Travel&amp;Costs of Stay'!C:C,B56,' 2-3-6. Travel&amp;Costs of Stay'!B:B,$E$21)</f>
        <v>0</v>
      </c>
      <c r="F56" s="22">
        <f>SUMIFS('1. Staff costs'!S:S,'1. Staff costs'!C:C,B56,'1. Staff costs'!B:B,$F$21)+SUMIFS(' 2-3-6. Travel&amp;Costs of Stay'!O:O,' 2-3-6. Travel&amp;Costs of Stay'!C:C,B56,' 2-3-6. Travel&amp;Costs of Stay'!B:B,$F$21)+SUMIFS(' 2-3-6. Travel&amp;Costs of Stay'!P:P,' 2-3-6. Travel&amp;Costs of Stay'!C:C,B56,' 2-3-6. Travel&amp;Costs of Stay'!B:B,$F$21)+SUMIFS('4. Equipment Costs'!H:H,'4. Equipment Costs'!C:C,B56,'4. Equipment Costs'!B:B,$F$21)+SUMIFS('5. Subcontracting Costs'!H:H,'5. Subcontracting Costs'!C:C,B56,'5. Subcontracting Costs'!B:B,$F$21)+SUMIFS(' 2-3-6. Travel&amp;Costs of Stay'!N:N,' 2-3-6. Travel&amp;Costs of Stay'!C:C,B56,' 2-3-6. Travel&amp;Costs of Stay'!B:B,$F$21)</f>
        <v>0</v>
      </c>
      <c r="G56" s="22">
        <f>SUMIFS('1. Staff costs'!S:S,'1. Staff costs'!C:C,B56,'1. Staff costs'!B:B,$G$21)+SUMIFS(' 2-3-6. Travel&amp;Costs of Stay'!O:O,' 2-3-6. Travel&amp;Costs of Stay'!C:C,B56,' 2-3-6. Travel&amp;Costs of Stay'!B:B,$G$21)+SUMIFS(' 2-3-6. Travel&amp;Costs of Stay'!P:P,' 2-3-6. Travel&amp;Costs of Stay'!C:C,B56,' 2-3-6. Travel&amp;Costs of Stay'!B:B,$G$21)+SUMIFS('4. Equipment Costs'!H:H,'4. Equipment Costs'!C:C,B56,'4. Equipment Costs'!B:B,$G$21)+SUMIFS('5. Subcontracting Costs'!H:H,'5. Subcontracting Costs'!C:C,B56,'5. Subcontracting Costs'!B:B,$G$21)+SUMIFS(' 2-3-6. Travel&amp;Costs of Stay'!N:N,' 2-3-6. Travel&amp;Costs of Stay'!C:C,B56,' 2-3-6. Travel&amp;Costs of Stay'!B:B,$G$21)</f>
        <v>0</v>
      </c>
      <c r="H56" s="233">
        <f t="shared" si="4"/>
        <v>0</v>
      </c>
      <c r="I56" s="234"/>
    </row>
    <row r="57" spans="2:9" x14ac:dyDescent="0.35">
      <c r="B57" s="48" t="s">
        <v>84</v>
      </c>
      <c r="C57" s="22">
        <f>SUMIFS('1. Staff costs'!S:S,'1. Staff costs'!C:C,B57,'1. Staff costs'!B:B,$C$21)+SUMIFS(' 2-3-6. Travel&amp;Costs of Stay'!O:O,' 2-3-6. Travel&amp;Costs of Stay'!C:C,B57,' 2-3-6. Travel&amp;Costs of Stay'!B:B,$C$21)+SUMIFS(' 2-3-6. Travel&amp;Costs of Stay'!P:P,' 2-3-6. Travel&amp;Costs of Stay'!C:C,B57,' 2-3-6. Travel&amp;Costs of Stay'!B:B,$C$21)+SUMIFS('4. Equipment Costs'!H:H,'4. Equipment Costs'!C:C,B57,'4. Equipment Costs'!B:B,$C$21)+SUMIFS('5. Subcontracting Costs'!H:H,'5. Subcontracting Costs'!C:C,B57,'5. Subcontracting Costs'!B:B,$C$21)+SUMIFS(' 2-3-6. Travel&amp;Costs of Stay'!N:N,' 2-3-6. Travel&amp;Costs of Stay'!C:C,B57,' 2-3-6. Travel&amp;Costs of Stay'!B:B,$C$21)</f>
        <v>0</v>
      </c>
      <c r="D57" s="22">
        <f>SUMIFS('1. Staff costs'!S:S,'1. Staff costs'!C:C,B57,'1. Staff costs'!B:B,$D$21)+SUMIFS(' 2-3-6. Travel&amp;Costs of Stay'!O:O,' 2-3-6. Travel&amp;Costs of Stay'!C:C,B57,' 2-3-6. Travel&amp;Costs of Stay'!B:B,$D$21)+SUMIFS(' 2-3-6. Travel&amp;Costs of Stay'!P:P,' 2-3-6. Travel&amp;Costs of Stay'!C:C,B57,' 2-3-6. Travel&amp;Costs of Stay'!B:B,$D$21)+SUMIFS('4. Equipment Costs'!H:H,'4. Equipment Costs'!C:C,B57,'4. Equipment Costs'!B:B,$D$21)+SUMIFS('5. Subcontracting Costs'!H:H,'5. Subcontracting Costs'!C:C,B57,'5. Subcontracting Costs'!B:B,$D$21)+SUMIFS(' 2-3-6. Travel&amp;Costs of Stay'!N:N,' 2-3-6. Travel&amp;Costs of Stay'!C:C,B57,' 2-3-6. Travel&amp;Costs of Stay'!B:B,$D$21)</f>
        <v>0</v>
      </c>
      <c r="E57" s="22">
        <f>SUMIFS('1. Staff costs'!S:S,'1. Staff costs'!C:C,B57,'1. Staff costs'!B:B,$E$21)+SUMIFS(' 2-3-6. Travel&amp;Costs of Stay'!O:O,' 2-3-6. Travel&amp;Costs of Stay'!C:C,B57,' 2-3-6. Travel&amp;Costs of Stay'!B:B,$E$21)+SUMIFS(' 2-3-6. Travel&amp;Costs of Stay'!P:P,' 2-3-6. Travel&amp;Costs of Stay'!C:C,B57,' 2-3-6. Travel&amp;Costs of Stay'!B:B,$E$21)+SUMIFS('4. Equipment Costs'!H:H,'4. Equipment Costs'!C:C,B57,'4. Equipment Costs'!B:B,$E$21)+SUMIFS('5. Subcontracting Costs'!H:H,'5. Subcontracting Costs'!C:C,B57,'5. Subcontracting Costs'!B:B,$E$21)+SUMIFS(' 2-3-6. Travel&amp;Costs of Stay'!N:N,' 2-3-6. Travel&amp;Costs of Stay'!C:C,B57,' 2-3-6. Travel&amp;Costs of Stay'!B:B,$E$21)</f>
        <v>0</v>
      </c>
      <c r="F57" s="22">
        <f>SUMIFS('1. Staff costs'!S:S,'1. Staff costs'!C:C,B57,'1. Staff costs'!B:B,$F$21)+SUMIFS(' 2-3-6. Travel&amp;Costs of Stay'!O:O,' 2-3-6. Travel&amp;Costs of Stay'!C:C,B57,' 2-3-6. Travel&amp;Costs of Stay'!B:B,$F$21)+SUMIFS(' 2-3-6. Travel&amp;Costs of Stay'!P:P,' 2-3-6. Travel&amp;Costs of Stay'!C:C,B57,' 2-3-6. Travel&amp;Costs of Stay'!B:B,$F$21)+SUMIFS('4. Equipment Costs'!H:H,'4. Equipment Costs'!C:C,B57,'4. Equipment Costs'!B:B,$F$21)+SUMIFS('5. Subcontracting Costs'!H:H,'5. Subcontracting Costs'!C:C,B57,'5. Subcontracting Costs'!B:B,$F$21)+SUMIFS(' 2-3-6. Travel&amp;Costs of Stay'!N:N,' 2-3-6. Travel&amp;Costs of Stay'!C:C,B57,' 2-3-6. Travel&amp;Costs of Stay'!B:B,$F$21)</f>
        <v>0</v>
      </c>
      <c r="G57" s="22">
        <f>SUMIFS('1. Staff costs'!S:S,'1. Staff costs'!C:C,B57,'1. Staff costs'!B:B,$G$21)+SUMIFS(' 2-3-6. Travel&amp;Costs of Stay'!O:O,' 2-3-6. Travel&amp;Costs of Stay'!C:C,B57,' 2-3-6. Travel&amp;Costs of Stay'!B:B,$G$21)+SUMIFS(' 2-3-6. Travel&amp;Costs of Stay'!P:P,' 2-3-6. Travel&amp;Costs of Stay'!C:C,B57,' 2-3-6. Travel&amp;Costs of Stay'!B:B,$G$21)+SUMIFS('4. Equipment Costs'!H:H,'4. Equipment Costs'!C:C,B57,'4. Equipment Costs'!B:B,$G$21)+SUMIFS('5. Subcontracting Costs'!H:H,'5. Subcontracting Costs'!C:C,B57,'5. Subcontracting Costs'!B:B,$G$21)+SUMIFS(' 2-3-6. Travel&amp;Costs of Stay'!N:N,' 2-3-6. Travel&amp;Costs of Stay'!C:C,B57,' 2-3-6. Travel&amp;Costs of Stay'!B:B,$G$21)</f>
        <v>0</v>
      </c>
      <c r="H57" s="233">
        <f t="shared" si="4"/>
        <v>0</v>
      </c>
      <c r="I57" s="234"/>
    </row>
    <row r="58" spans="2:9" x14ac:dyDescent="0.35">
      <c r="B58" s="48" t="s">
        <v>85</v>
      </c>
      <c r="C58" s="22">
        <f>SUMIFS('1. Staff costs'!S:S,'1. Staff costs'!C:C,B58,'1. Staff costs'!B:B,$C$21)+SUMIFS(' 2-3-6. Travel&amp;Costs of Stay'!O:O,' 2-3-6. Travel&amp;Costs of Stay'!C:C,B58,' 2-3-6. Travel&amp;Costs of Stay'!B:B,$C$21)+SUMIFS(' 2-3-6. Travel&amp;Costs of Stay'!P:P,' 2-3-6. Travel&amp;Costs of Stay'!C:C,B58,' 2-3-6. Travel&amp;Costs of Stay'!B:B,$C$21)+SUMIFS('4. Equipment Costs'!H:H,'4. Equipment Costs'!C:C,B58,'4. Equipment Costs'!B:B,$C$21)+SUMIFS('5. Subcontracting Costs'!H:H,'5. Subcontracting Costs'!C:C,B58,'5. Subcontracting Costs'!B:B,$C$21)+SUMIFS(' 2-3-6. Travel&amp;Costs of Stay'!N:N,' 2-3-6. Travel&amp;Costs of Stay'!C:C,B58,' 2-3-6. Travel&amp;Costs of Stay'!B:B,$C$21)</f>
        <v>0</v>
      </c>
      <c r="D58" s="22">
        <f>SUMIFS('1. Staff costs'!S:S,'1. Staff costs'!C:C,B58,'1. Staff costs'!B:B,$D$21)+SUMIFS(' 2-3-6. Travel&amp;Costs of Stay'!O:O,' 2-3-6. Travel&amp;Costs of Stay'!C:C,B58,' 2-3-6. Travel&amp;Costs of Stay'!B:B,$D$21)+SUMIFS(' 2-3-6. Travel&amp;Costs of Stay'!P:P,' 2-3-6. Travel&amp;Costs of Stay'!C:C,B58,' 2-3-6. Travel&amp;Costs of Stay'!B:B,$D$21)+SUMIFS('4. Equipment Costs'!H:H,'4. Equipment Costs'!C:C,B58,'4. Equipment Costs'!B:B,$D$21)+SUMIFS('5. Subcontracting Costs'!H:H,'5. Subcontracting Costs'!C:C,B58,'5. Subcontracting Costs'!B:B,$D$21)+SUMIFS(' 2-3-6. Travel&amp;Costs of Stay'!N:N,' 2-3-6. Travel&amp;Costs of Stay'!C:C,B58,' 2-3-6. Travel&amp;Costs of Stay'!B:B,$D$21)</f>
        <v>0</v>
      </c>
      <c r="E58" s="22">
        <f>SUMIFS('1. Staff costs'!S:S,'1. Staff costs'!C:C,B58,'1. Staff costs'!B:B,$E$21)+SUMIFS(' 2-3-6. Travel&amp;Costs of Stay'!O:O,' 2-3-6. Travel&amp;Costs of Stay'!C:C,B58,' 2-3-6. Travel&amp;Costs of Stay'!B:B,$E$21)+SUMIFS(' 2-3-6. Travel&amp;Costs of Stay'!P:P,' 2-3-6. Travel&amp;Costs of Stay'!C:C,B58,' 2-3-6. Travel&amp;Costs of Stay'!B:B,$E$21)+SUMIFS('4. Equipment Costs'!H:H,'4. Equipment Costs'!C:C,B58,'4. Equipment Costs'!B:B,$E$21)+SUMIFS('5. Subcontracting Costs'!H:H,'5. Subcontracting Costs'!C:C,B58,'5. Subcontracting Costs'!B:B,$E$21)+SUMIFS(' 2-3-6. Travel&amp;Costs of Stay'!N:N,' 2-3-6. Travel&amp;Costs of Stay'!C:C,B58,' 2-3-6. Travel&amp;Costs of Stay'!B:B,$E$21)</f>
        <v>0</v>
      </c>
      <c r="F58" s="22">
        <f>SUMIFS('1. Staff costs'!S:S,'1. Staff costs'!C:C,B58,'1. Staff costs'!B:B,$F$21)+SUMIFS(' 2-3-6. Travel&amp;Costs of Stay'!O:O,' 2-3-6. Travel&amp;Costs of Stay'!C:C,B58,' 2-3-6. Travel&amp;Costs of Stay'!B:B,$F$21)+SUMIFS(' 2-3-6. Travel&amp;Costs of Stay'!P:P,' 2-3-6. Travel&amp;Costs of Stay'!C:C,B58,' 2-3-6. Travel&amp;Costs of Stay'!B:B,$F$21)+SUMIFS('4. Equipment Costs'!H:H,'4. Equipment Costs'!C:C,B58,'4. Equipment Costs'!B:B,$F$21)+SUMIFS('5. Subcontracting Costs'!H:H,'5. Subcontracting Costs'!C:C,B58,'5. Subcontracting Costs'!B:B,$F$21)+SUMIFS(' 2-3-6. Travel&amp;Costs of Stay'!N:N,' 2-3-6. Travel&amp;Costs of Stay'!C:C,B58,' 2-3-6. Travel&amp;Costs of Stay'!B:B,$F$21)</f>
        <v>0</v>
      </c>
      <c r="G58" s="22">
        <f>SUMIFS('1. Staff costs'!S:S,'1. Staff costs'!C:C,B58,'1. Staff costs'!B:B,$G$21)+SUMIFS(' 2-3-6. Travel&amp;Costs of Stay'!O:O,' 2-3-6. Travel&amp;Costs of Stay'!C:C,B58,' 2-3-6. Travel&amp;Costs of Stay'!B:B,$G$21)+SUMIFS(' 2-3-6. Travel&amp;Costs of Stay'!P:P,' 2-3-6. Travel&amp;Costs of Stay'!C:C,B58,' 2-3-6. Travel&amp;Costs of Stay'!B:B,$G$21)+SUMIFS('4. Equipment Costs'!H:H,'4. Equipment Costs'!C:C,B58,'4. Equipment Costs'!B:B,$G$21)+SUMIFS('5. Subcontracting Costs'!H:H,'5. Subcontracting Costs'!C:C,B58,'5. Subcontracting Costs'!B:B,$G$21)+SUMIFS(' 2-3-6. Travel&amp;Costs of Stay'!N:N,' 2-3-6. Travel&amp;Costs of Stay'!C:C,B58,' 2-3-6. Travel&amp;Costs of Stay'!B:B,$G$21)</f>
        <v>0</v>
      </c>
      <c r="H58" s="233">
        <f t="shared" si="4"/>
        <v>0</v>
      </c>
      <c r="I58" s="234"/>
    </row>
    <row r="59" spans="2:9" x14ac:dyDescent="0.35">
      <c r="B59" s="48" t="s">
        <v>86</v>
      </c>
      <c r="C59" s="22">
        <f>SUMIFS('1. Staff costs'!S:S,'1. Staff costs'!C:C,B59,'1. Staff costs'!B:B,$C$21)+SUMIFS(' 2-3-6. Travel&amp;Costs of Stay'!O:O,' 2-3-6. Travel&amp;Costs of Stay'!C:C,B59,' 2-3-6. Travel&amp;Costs of Stay'!B:B,$C$21)+SUMIFS(' 2-3-6. Travel&amp;Costs of Stay'!P:P,' 2-3-6. Travel&amp;Costs of Stay'!C:C,B59,' 2-3-6. Travel&amp;Costs of Stay'!B:B,$C$21)+SUMIFS('4. Equipment Costs'!H:H,'4. Equipment Costs'!C:C,B59,'4. Equipment Costs'!B:B,$C$21)+SUMIFS('5. Subcontracting Costs'!H:H,'5. Subcontracting Costs'!C:C,B59,'5. Subcontracting Costs'!B:B,$C$21)+SUMIFS(' 2-3-6. Travel&amp;Costs of Stay'!N:N,' 2-3-6. Travel&amp;Costs of Stay'!C:C,B59,' 2-3-6. Travel&amp;Costs of Stay'!B:B,$C$21)</f>
        <v>0</v>
      </c>
      <c r="D59" s="22">
        <f>SUMIFS('1. Staff costs'!S:S,'1. Staff costs'!C:C,B59,'1. Staff costs'!B:B,$D$21)+SUMIFS(' 2-3-6. Travel&amp;Costs of Stay'!O:O,' 2-3-6. Travel&amp;Costs of Stay'!C:C,B59,' 2-3-6. Travel&amp;Costs of Stay'!B:B,$D$21)+SUMIFS(' 2-3-6. Travel&amp;Costs of Stay'!P:P,' 2-3-6. Travel&amp;Costs of Stay'!C:C,B59,' 2-3-6. Travel&amp;Costs of Stay'!B:B,$D$21)+SUMIFS('4. Equipment Costs'!H:H,'4. Equipment Costs'!C:C,B59,'4. Equipment Costs'!B:B,$D$21)+SUMIFS('5. Subcontracting Costs'!H:H,'5. Subcontracting Costs'!C:C,B59,'5. Subcontracting Costs'!B:B,$D$21)+SUMIFS(' 2-3-6. Travel&amp;Costs of Stay'!N:N,' 2-3-6. Travel&amp;Costs of Stay'!C:C,B59,' 2-3-6. Travel&amp;Costs of Stay'!B:B,$D$21)</f>
        <v>0</v>
      </c>
      <c r="E59" s="22">
        <f>SUMIFS('1. Staff costs'!S:S,'1. Staff costs'!C:C,B59,'1. Staff costs'!B:B,$E$21)+SUMIFS(' 2-3-6. Travel&amp;Costs of Stay'!O:O,' 2-3-6. Travel&amp;Costs of Stay'!C:C,B59,' 2-3-6. Travel&amp;Costs of Stay'!B:B,$E$21)+SUMIFS(' 2-3-6. Travel&amp;Costs of Stay'!P:P,' 2-3-6. Travel&amp;Costs of Stay'!C:C,B59,' 2-3-6. Travel&amp;Costs of Stay'!B:B,$E$21)+SUMIFS('4. Equipment Costs'!H:H,'4. Equipment Costs'!C:C,B59,'4. Equipment Costs'!B:B,$E$21)+SUMIFS('5. Subcontracting Costs'!H:H,'5. Subcontracting Costs'!C:C,B59,'5. Subcontracting Costs'!B:B,$E$21)+SUMIFS(' 2-3-6. Travel&amp;Costs of Stay'!N:N,' 2-3-6. Travel&amp;Costs of Stay'!C:C,B59,' 2-3-6. Travel&amp;Costs of Stay'!B:B,$E$21)</f>
        <v>0</v>
      </c>
      <c r="F59" s="22">
        <f>SUMIFS('1. Staff costs'!S:S,'1. Staff costs'!C:C,B59,'1. Staff costs'!B:B,$F$21)+SUMIFS(' 2-3-6. Travel&amp;Costs of Stay'!O:O,' 2-3-6. Travel&amp;Costs of Stay'!C:C,B59,' 2-3-6. Travel&amp;Costs of Stay'!B:B,$F$21)+SUMIFS(' 2-3-6. Travel&amp;Costs of Stay'!P:P,' 2-3-6. Travel&amp;Costs of Stay'!C:C,B59,' 2-3-6. Travel&amp;Costs of Stay'!B:B,$F$21)+SUMIFS('4. Equipment Costs'!H:H,'4. Equipment Costs'!C:C,B59,'4. Equipment Costs'!B:B,$F$21)+SUMIFS('5. Subcontracting Costs'!H:H,'5. Subcontracting Costs'!C:C,B59,'5. Subcontracting Costs'!B:B,$F$21)+SUMIFS(' 2-3-6. Travel&amp;Costs of Stay'!N:N,' 2-3-6. Travel&amp;Costs of Stay'!C:C,B59,' 2-3-6. Travel&amp;Costs of Stay'!B:B,$F$21)</f>
        <v>0</v>
      </c>
      <c r="G59" s="22">
        <f>SUMIFS('1. Staff costs'!S:S,'1. Staff costs'!C:C,B59,'1. Staff costs'!B:B,$G$21)+SUMIFS(' 2-3-6. Travel&amp;Costs of Stay'!O:O,' 2-3-6. Travel&amp;Costs of Stay'!C:C,B59,' 2-3-6. Travel&amp;Costs of Stay'!B:B,$G$21)+SUMIFS(' 2-3-6. Travel&amp;Costs of Stay'!P:P,' 2-3-6. Travel&amp;Costs of Stay'!C:C,B59,' 2-3-6. Travel&amp;Costs of Stay'!B:B,$G$21)+SUMIFS('4. Equipment Costs'!H:H,'4. Equipment Costs'!C:C,B59,'4. Equipment Costs'!B:B,$G$21)+SUMIFS('5. Subcontracting Costs'!H:H,'5. Subcontracting Costs'!C:C,B59,'5. Subcontracting Costs'!B:B,$G$21)+SUMIFS(' 2-3-6. Travel&amp;Costs of Stay'!N:N,' 2-3-6. Travel&amp;Costs of Stay'!C:C,B59,' 2-3-6. Travel&amp;Costs of Stay'!B:B,$G$21)</f>
        <v>0</v>
      </c>
      <c r="H59" s="233">
        <f t="shared" si="4"/>
        <v>0</v>
      </c>
      <c r="I59" s="234"/>
    </row>
    <row r="60" spans="2:9" x14ac:dyDescent="0.35">
      <c r="B60" s="48" t="s">
        <v>87</v>
      </c>
      <c r="C60" s="22">
        <f>SUMIFS('1. Staff costs'!S:S,'1. Staff costs'!C:C,B60,'1. Staff costs'!B:B,$C$21)+SUMIFS(' 2-3-6. Travel&amp;Costs of Stay'!O:O,' 2-3-6. Travel&amp;Costs of Stay'!C:C,B60,' 2-3-6. Travel&amp;Costs of Stay'!B:B,$C$21)+SUMIFS(' 2-3-6. Travel&amp;Costs of Stay'!P:P,' 2-3-6. Travel&amp;Costs of Stay'!C:C,B60,' 2-3-6. Travel&amp;Costs of Stay'!B:B,$C$21)+SUMIFS('4. Equipment Costs'!H:H,'4. Equipment Costs'!C:C,B60,'4. Equipment Costs'!B:B,$C$21)+SUMIFS('5. Subcontracting Costs'!H:H,'5. Subcontracting Costs'!C:C,B60,'5. Subcontracting Costs'!B:B,$C$21)+SUMIFS(' 2-3-6. Travel&amp;Costs of Stay'!N:N,' 2-3-6. Travel&amp;Costs of Stay'!C:C,B60,' 2-3-6. Travel&amp;Costs of Stay'!B:B,$C$21)</f>
        <v>0</v>
      </c>
      <c r="D60" s="22">
        <f>SUMIFS('1. Staff costs'!S:S,'1. Staff costs'!C:C,B60,'1. Staff costs'!B:B,$D$21)+SUMIFS(' 2-3-6. Travel&amp;Costs of Stay'!O:O,' 2-3-6. Travel&amp;Costs of Stay'!C:C,B60,' 2-3-6. Travel&amp;Costs of Stay'!B:B,$D$21)+SUMIFS(' 2-3-6. Travel&amp;Costs of Stay'!P:P,' 2-3-6. Travel&amp;Costs of Stay'!C:C,B60,' 2-3-6. Travel&amp;Costs of Stay'!B:B,$D$21)+SUMIFS('4. Equipment Costs'!H:H,'4. Equipment Costs'!C:C,B60,'4. Equipment Costs'!B:B,$D$21)+SUMIFS('5. Subcontracting Costs'!H:H,'5. Subcontracting Costs'!C:C,B60,'5. Subcontracting Costs'!B:B,$D$21)+SUMIFS(' 2-3-6. Travel&amp;Costs of Stay'!N:N,' 2-3-6. Travel&amp;Costs of Stay'!C:C,B60,' 2-3-6. Travel&amp;Costs of Stay'!B:B,$D$21)</f>
        <v>0</v>
      </c>
      <c r="E60" s="22">
        <f>SUMIFS('1. Staff costs'!S:S,'1. Staff costs'!C:C,B60,'1. Staff costs'!B:B,$E$21)+SUMIFS(' 2-3-6. Travel&amp;Costs of Stay'!O:O,' 2-3-6. Travel&amp;Costs of Stay'!C:C,B60,' 2-3-6. Travel&amp;Costs of Stay'!B:B,$E$21)+SUMIFS(' 2-3-6. Travel&amp;Costs of Stay'!P:P,' 2-3-6. Travel&amp;Costs of Stay'!C:C,B60,' 2-3-6. Travel&amp;Costs of Stay'!B:B,$E$21)+SUMIFS('4. Equipment Costs'!H:H,'4. Equipment Costs'!C:C,B60,'4. Equipment Costs'!B:B,$E$21)+SUMIFS('5. Subcontracting Costs'!H:H,'5. Subcontracting Costs'!C:C,B60,'5. Subcontracting Costs'!B:B,$E$21)+SUMIFS(' 2-3-6. Travel&amp;Costs of Stay'!N:N,' 2-3-6. Travel&amp;Costs of Stay'!C:C,B60,' 2-3-6. Travel&amp;Costs of Stay'!B:B,$E$21)</f>
        <v>0</v>
      </c>
      <c r="F60" s="22">
        <f>SUMIFS('1. Staff costs'!S:S,'1. Staff costs'!C:C,B60,'1. Staff costs'!B:B,$F$21)+SUMIFS(' 2-3-6. Travel&amp;Costs of Stay'!O:O,' 2-3-6. Travel&amp;Costs of Stay'!C:C,B60,' 2-3-6. Travel&amp;Costs of Stay'!B:B,$F$21)+SUMIFS(' 2-3-6. Travel&amp;Costs of Stay'!P:P,' 2-3-6. Travel&amp;Costs of Stay'!C:C,B60,' 2-3-6. Travel&amp;Costs of Stay'!B:B,$F$21)+SUMIFS('4. Equipment Costs'!H:H,'4. Equipment Costs'!C:C,B60,'4. Equipment Costs'!B:B,$F$21)+SUMIFS('5. Subcontracting Costs'!H:H,'5. Subcontracting Costs'!C:C,B60,'5. Subcontracting Costs'!B:B,$F$21)+SUMIFS(' 2-3-6. Travel&amp;Costs of Stay'!N:N,' 2-3-6. Travel&amp;Costs of Stay'!C:C,B60,' 2-3-6. Travel&amp;Costs of Stay'!B:B,$F$21)</f>
        <v>0</v>
      </c>
      <c r="G60" s="22">
        <f>SUMIFS('1. Staff costs'!S:S,'1. Staff costs'!C:C,B60,'1. Staff costs'!B:B,$G$21)+SUMIFS(' 2-3-6. Travel&amp;Costs of Stay'!O:O,' 2-3-6. Travel&amp;Costs of Stay'!C:C,B60,' 2-3-6. Travel&amp;Costs of Stay'!B:B,$G$21)+SUMIFS(' 2-3-6. Travel&amp;Costs of Stay'!P:P,' 2-3-6. Travel&amp;Costs of Stay'!C:C,B60,' 2-3-6. Travel&amp;Costs of Stay'!B:B,$G$21)+SUMIFS('4. Equipment Costs'!H:H,'4. Equipment Costs'!C:C,B60,'4. Equipment Costs'!B:B,$G$21)+SUMIFS('5. Subcontracting Costs'!H:H,'5. Subcontracting Costs'!C:C,B60,'5. Subcontracting Costs'!B:B,$G$21)+SUMIFS(' 2-3-6. Travel&amp;Costs of Stay'!N:N,' 2-3-6. Travel&amp;Costs of Stay'!C:C,B60,' 2-3-6. Travel&amp;Costs of Stay'!B:B,$G$21)</f>
        <v>0</v>
      </c>
      <c r="H60" s="233">
        <f t="shared" si="4"/>
        <v>0</v>
      </c>
      <c r="I60" s="234"/>
    </row>
    <row r="61" spans="2:9" x14ac:dyDescent="0.35">
      <c r="B61" s="48" t="s">
        <v>88</v>
      </c>
      <c r="C61" s="22">
        <f>SUMIFS('1. Staff costs'!S:S,'1. Staff costs'!C:C,B61,'1. Staff costs'!B:B,$C$21)+SUMIFS(' 2-3-6. Travel&amp;Costs of Stay'!O:O,' 2-3-6. Travel&amp;Costs of Stay'!C:C,B61,' 2-3-6. Travel&amp;Costs of Stay'!B:B,$C$21)+SUMIFS(' 2-3-6. Travel&amp;Costs of Stay'!P:P,' 2-3-6. Travel&amp;Costs of Stay'!C:C,B61,' 2-3-6. Travel&amp;Costs of Stay'!B:B,$C$21)+SUMIFS('4. Equipment Costs'!H:H,'4. Equipment Costs'!C:C,B61,'4. Equipment Costs'!B:B,$C$21)+SUMIFS('5. Subcontracting Costs'!H:H,'5. Subcontracting Costs'!C:C,B61,'5. Subcontracting Costs'!B:B,$C$21)+SUMIFS(' 2-3-6. Travel&amp;Costs of Stay'!N:N,' 2-3-6. Travel&amp;Costs of Stay'!C:C,B61,' 2-3-6. Travel&amp;Costs of Stay'!B:B,$C$21)</f>
        <v>0</v>
      </c>
      <c r="D61" s="22">
        <f>SUMIFS('1. Staff costs'!S:S,'1. Staff costs'!C:C,B61,'1. Staff costs'!B:B,$D$21)+SUMIFS(' 2-3-6. Travel&amp;Costs of Stay'!O:O,' 2-3-6. Travel&amp;Costs of Stay'!C:C,B61,' 2-3-6. Travel&amp;Costs of Stay'!B:B,$D$21)+SUMIFS(' 2-3-6. Travel&amp;Costs of Stay'!P:P,' 2-3-6. Travel&amp;Costs of Stay'!C:C,B61,' 2-3-6. Travel&amp;Costs of Stay'!B:B,$D$21)+SUMIFS('4. Equipment Costs'!H:H,'4. Equipment Costs'!C:C,B61,'4. Equipment Costs'!B:B,$D$21)+SUMIFS('5. Subcontracting Costs'!H:H,'5. Subcontracting Costs'!C:C,B61,'5. Subcontracting Costs'!B:B,$D$21)+SUMIFS(' 2-3-6. Travel&amp;Costs of Stay'!N:N,' 2-3-6. Travel&amp;Costs of Stay'!C:C,B61,' 2-3-6. Travel&amp;Costs of Stay'!B:B,$D$21)</f>
        <v>0</v>
      </c>
      <c r="E61" s="22">
        <f>SUMIFS('1. Staff costs'!S:S,'1. Staff costs'!C:C,B61,'1. Staff costs'!B:B,$E$21)+SUMIFS(' 2-3-6. Travel&amp;Costs of Stay'!O:O,' 2-3-6. Travel&amp;Costs of Stay'!C:C,B61,' 2-3-6. Travel&amp;Costs of Stay'!B:B,$E$21)+SUMIFS(' 2-3-6. Travel&amp;Costs of Stay'!P:P,' 2-3-6. Travel&amp;Costs of Stay'!C:C,B61,' 2-3-6. Travel&amp;Costs of Stay'!B:B,$E$21)+SUMIFS('4. Equipment Costs'!H:H,'4. Equipment Costs'!C:C,B61,'4. Equipment Costs'!B:B,$E$21)+SUMIFS('5. Subcontracting Costs'!H:H,'5. Subcontracting Costs'!C:C,B61,'5. Subcontracting Costs'!B:B,$E$21)+SUMIFS(' 2-3-6. Travel&amp;Costs of Stay'!N:N,' 2-3-6. Travel&amp;Costs of Stay'!C:C,B61,' 2-3-6. Travel&amp;Costs of Stay'!B:B,$E$21)</f>
        <v>0</v>
      </c>
      <c r="F61" s="22">
        <f>SUMIFS('1. Staff costs'!S:S,'1. Staff costs'!C:C,B61,'1. Staff costs'!B:B,$F$21)+SUMIFS(' 2-3-6. Travel&amp;Costs of Stay'!O:O,' 2-3-6. Travel&amp;Costs of Stay'!C:C,B61,' 2-3-6. Travel&amp;Costs of Stay'!B:B,$F$21)+SUMIFS(' 2-3-6. Travel&amp;Costs of Stay'!P:P,' 2-3-6. Travel&amp;Costs of Stay'!C:C,B61,' 2-3-6. Travel&amp;Costs of Stay'!B:B,$F$21)+SUMIFS('4. Equipment Costs'!H:H,'4. Equipment Costs'!C:C,B61,'4. Equipment Costs'!B:B,$F$21)+SUMIFS('5. Subcontracting Costs'!H:H,'5. Subcontracting Costs'!C:C,B61,'5. Subcontracting Costs'!B:B,$F$21)+SUMIFS(' 2-3-6. Travel&amp;Costs of Stay'!N:N,' 2-3-6. Travel&amp;Costs of Stay'!C:C,B61,' 2-3-6. Travel&amp;Costs of Stay'!B:B,$F$21)</f>
        <v>0</v>
      </c>
      <c r="G61" s="22">
        <f>SUMIFS('1. Staff costs'!S:S,'1. Staff costs'!C:C,B61,'1. Staff costs'!B:B,$G$21)+SUMIFS(' 2-3-6. Travel&amp;Costs of Stay'!O:O,' 2-3-6. Travel&amp;Costs of Stay'!C:C,B61,' 2-3-6. Travel&amp;Costs of Stay'!B:B,$G$21)+SUMIFS(' 2-3-6. Travel&amp;Costs of Stay'!P:P,' 2-3-6. Travel&amp;Costs of Stay'!C:C,B61,' 2-3-6. Travel&amp;Costs of Stay'!B:B,$G$21)+SUMIFS('4. Equipment Costs'!H:H,'4. Equipment Costs'!C:C,B61,'4. Equipment Costs'!B:B,$G$21)+SUMIFS('5. Subcontracting Costs'!H:H,'5. Subcontracting Costs'!C:C,B61,'5. Subcontracting Costs'!B:B,$G$21)+SUMIFS(' 2-3-6. Travel&amp;Costs of Stay'!N:N,' 2-3-6. Travel&amp;Costs of Stay'!C:C,B61,' 2-3-6. Travel&amp;Costs of Stay'!B:B,$G$21)</f>
        <v>0</v>
      </c>
      <c r="H61" s="233">
        <f t="shared" si="4"/>
        <v>0</v>
      </c>
      <c r="I61" s="234"/>
    </row>
    <row r="62" spans="2:9" x14ac:dyDescent="0.35">
      <c r="B62" s="48" t="s">
        <v>89</v>
      </c>
      <c r="C62" s="22">
        <f>SUMIFS('1. Staff costs'!S:S,'1. Staff costs'!C:C,B62,'1. Staff costs'!B:B,$C$21)+SUMIFS(' 2-3-6. Travel&amp;Costs of Stay'!O:O,' 2-3-6. Travel&amp;Costs of Stay'!C:C,B62,' 2-3-6. Travel&amp;Costs of Stay'!B:B,$C$21)+SUMIFS(' 2-3-6. Travel&amp;Costs of Stay'!P:P,' 2-3-6. Travel&amp;Costs of Stay'!C:C,B62,' 2-3-6. Travel&amp;Costs of Stay'!B:B,$C$21)+SUMIFS('4. Equipment Costs'!H:H,'4. Equipment Costs'!C:C,B62,'4. Equipment Costs'!B:B,$C$21)+SUMIFS('5. Subcontracting Costs'!H:H,'5. Subcontracting Costs'!C:C,B62,'5. Subcontracting Costs'!B:B,$C$21)+SUMIFS(' 2-3-6. Travel&amp;Costs of Stay'!N:N,' 2-3-6. Travel&amp;Costs of Stay'!C:C,B62,' 2-3-6. Travel&amp;Costs of Stay'!B:B,$C$21)</f>
        <v>0</v>
      </c>
      <c r="D62" s="22">
        <f>SUMIFS('1. Staff costs'!S:S,'1. Staff costs'!C:C,B62,'1. Staff costs'!B:B,$D$21)+SUMIFS(' 2-3-6. Travel&amp;Costs of Stay'!O:O,' 2-3-6. Travel&amp;Costs of Stay'!C:C,B62,' 2-3-6. Travel&amp;Costs of Stay'!B:B,$D$21)+SUMIFS(' 2-3-6. Travel&amp;Costs of Stay'!P:P,' 2-3-6. Travel&amp;Costs of Stay'!C:C,B62,' 2-3-6. Travel&amp;Costs of Stay'!B:B,$D$21)+SUMIFS('4. Equipment Costs'!H:H,'4. Equipment Costs'!C:C,B62,'4. Equipment Costs'!B:B,$D$21)+SUMIFS('5. Subcontracting Costs'!H:H,'5. Subcontracting Costs'!C:C,B62,'5. Subcontracting Costs'!B:B,$D$21)+SUMIFS(' 2-3-6. Travel&amp;Costs of Stay'!N:N,' 2-3-6. Travel&amp;Costs of Stay'!C:C,B62,' 2-3-6. Travel&amp;Costs of Stay'!B:B,$D$21)</f>
        <v>0</v>
      </c>
      <c r="E62" s="22">
        <f>SUMIFS('1. Staff costs'!S:S,'1. Staff costs'!C:C,B62,'1. Staff costs'!B:B,$E$21)+SUMIFS(' 2-3-6. Travel&amp;Costs of Stay'!O:O,' 2-3-6. Travel&amp;Costs of Stay'!C:C,B62,' 2-3-6. Travel&amp;Costs of Stay'!B:B,$E$21)+SUMIFS(' 2-3-6. Travel&amp;Costs of Stay'!P:P,' 2-3-6. Travel&amp;Costs of Stay'!C:C,B62,' 2-3-6. Travel&amp;Costs of Stay'!B:B,$E$21)+SUMIFS('4. Equipment Costs'!H:H,'4. Equipment Costs'!C:C,B62,'4. Equipment Costs'!B:B,$E$21)+SUMIFS('5. Subcontracting Costs'!H:H,'5. Subcontracting Costs'!C:C,B62,'5. Subcontracting Costs'!B:B,$E$21)+SUMIFS(' 2-3-6. Travel&amp;Costs of Stay'!N:N,' 2-3-6. Travel&amp;Costs of Stay'!C:C,B62,' 2-3-6. Travel&amp;Costs of Stay'!B:B,$E$21)</f>
        <v>0</v>
      </c>
      <c r="F62" s="22">
        <f>SUMIFS('1. Staff costs'!S:S,'1. Staff costs'!C:C,B62,'1. Staff costs'!B:B,$F$21)+SUMIFS(' 2-3-6. Travel&amp;Costs of Stay'!O:O,' 2-3-6. Travel&amp;Costs of Stay'!C:C,B62,' 2-3-6. Travel&amp;Costs of Stay'!B:B,$F$21)+SUMIFS(' 2-3-6. Travel&amp;Costs of Stay'!P:P,' 2-3-6. Travel&amp;Costs of Stay'!C:C,B62,' 2-3-6. Travel&amp;Costs of Stay'!B:B,$F$21)+SUMIFS('4. Equipment Costs'!H:H,'4. Equipment Costs'!C:C,B62,'4. Equipment Costs'!B:B,$F$21)+SUMIFS('5. Subcontracting Costs'!H:H,'5. Subcontracting Costs'!C:C,B62,'5. Subcontracting Costs'!B:B,$F$21)+SUMIFS(' 2-3-6. Travel&amp;Costs of Stay'!N:N,' 2-3-6. Travel&amp;Costs of Stay'!C:C,B62,' 2-3-6. Travel&amp;Costs of Stay'!B:B,$F$21)</f>
        <v>0</v>
      </c>
      <c r="G62" s="22">
        <f>SUMIFS('1. Staff costs'!S:S,'1. Staff costs'!C:C,B62,'1. Staff costs'!B:B,$G$21)+SUMIFS(' 2-3-6. Travel&amp;Costs of Stay'!O:O,' 2-3-6. Travel&amp;Costs of Stay'!C:C,B62,' 2-3-6. Travel&amp;Costs of Stay'!B:B,$G$21)+SUMIFS(' 2-3-6. Travel&amp;Costs of Stay'!P:P,' 2-3-6. Travel&amp;Costs of Stay'!C:C,B62,' 2-3-6. Travel&amp;Costs of Stay'!B:B,$G$21)+SUMIFS('4. Equipment Costs'!H:H,'4. Equipment Costs'!C:C,B62,'4. Equipment Costs'!B:B,$G$21)+SUMIFS('5. Subcontracting Costs'!H:H,'5. Subcontracting Costs'!C:C,B62,'5. Subcontracting Costs'!B:B,$G$21)+SUMIFS(' 2-3-6. Travel&amp;Costs of Stay'!N:N,' 2-3-6. Travel&amp;Costs of Stay'!C:C,B62,' 2-3-6. Travel&amp;Costs of Stay'!B:B,$G$21)</f>
        <v>0</v>
      </c>
      <c r="H62" s="233">
        <f t="shared" si="4"/>
        <v>0</v>
      </c>
      <c r="I62" s="234"/>
    </row>
    <row r="63" spans="2:9" x14ac:dyDescent="0.35">
      <c r="B63" s="48" t="s">
        <v>90</v>
      </c>
      <c r="C63" s="22">
        <f>SUMIFS('1. Staff costs'!S:S,'1. Staff costs'!C:C,B63,'1. Staff costs'!B:B,$C$21)+SUMIFS(' 2-3-6. Travel&amp;Costs of Stay'!O:O,' 2-3-6. Travel&amp;Costs of Stay'!C:C,B63,' 2-3-6. Travel&amp;Costs of Stay'!B:B,$C$21)+SUMIFS(' 2-3-6. Travel&amp;Costs of Stay'!P:P,' 2-3-6. Travel&amp;Costs of Stay'!C:C,B63,' 2-3-6. Travel&amp;Costs of Stay'!B:B,$C$21)+SUMIFS('4. Equipment Costs'!H:H,'4. Equipment Costs'!C:C,B63,'4. Equipment Costs'!B:B,$C$21)+SUMIFS('5. Subcontracting Costs'!H:H,'5. Subcontracting Costs'!C:C,B63,'5. Subcontracting Costs'!B:B,$C$21)+SUMIFS(' 2-3-6. Travel&amp;Costs of Stay'!N:N,' 2-3-6. Travel&amp;Costs of Stay'!C:C,B63,' 2-3-6. Travel&amp;Costs of Stay'!B:B,$C$21)</f>
        <v>0</v>
      </c>
      <c r="D63" s="22">
        <f>SUMIFS('1. Staff costs'!S:S,'1. Staff costs'!C:C,B63,'1. Staff costs'!B:B,$D$21)+SUMIFS(' 2-3-6. Travel&amp;Costs of Stay'!O:O,' 2-3-6. Travel&amp;Costs of Stay'!C:C,B63,' 2-3-6. Travel&amp;Costs of Stay'!B:B,$D$21)+SUMIFS(' 2-3-6. Travel&amp;Costs of Stay'!P:P,' 2-3-6. Travel&amp;Costs of Stay'!C:C,B63,' 2-3-6. Travel&amp;Costs of Stay'!B:B,$D$21)+SUMIFS('4. Equipment Costs'!H:H,'4. Equipment Costs'!C:C,B63,'4. Equipment Costs'!B:B,$D$21)+SUMIFS('5. Subcontracting Costs'!H:H,'5. Subcontracting Costs'!C:C,B63,'5. Subcontracting Costs'!B:B,$D$21)+SUMIFS(' 2-3-6. Travel&amp;Costs of Stay'!N:N,' 2-3-6. Travel&amp;Costs of Stay'!C:C,B63,' 2-3-6. Travel&amp;Costs of Stay'!B:B,$D$21)</f>
        <v>0</v>
      </c>
      <c r="E63" s="22">
        <f>SUMIFS('1. Staff costs'!S:S,'1. Staff costs'!C:C,B63,'1. Staff costs'!B:B,$E$21)+SUMIFS(' 2-3-6. Travel&amp;Costs of Stay'!O:O,' 2-3-6. Travel&amp;Costs of Stay'!C:C,B63,' 2-3-6. Travel&amp;Costs of Stay'!B:B,$E$21)+SUMIFS(' 2-3-6. Travel&amp;Costs of Stay'!P:P,' 2-3-6. Travel&amp;Costs of Stay'!C:C,B63,' 2-3-6. Travel&amp;Costs of Stay'!B:B,$E$21)+SUMIFS('4. Equipment Costs'!H:H,'4. Equipment Costs'!C:C,B63,'4. Equipment Costs'!B:B,$E$21)+SUMIFS('5. Subcontracting Costs'!H:H,'5. Subcontracting Costs'!C:C,B63,'5. Subcontracting Costs'!B:B,$E$21)+SUMIFS(' 2-3-6. Travel&amp;Costs of Stay'!N:N,' 2-3-6. Travel&amp;Costs of Stay'!C:C,B63,' 2-3-6. Travel&amp;Costs of Stay'!B:B,$E$21)</f>
        <v>0</v>
      </c>
      <c r="F63" s="22">
        <f>SUMIFS('1. Staff costs'!S:S,'1. Staff costs'!C:C,B63,'1. Staff costs'!B:B,$F$21)+SUMIFS(' 2-3-6. Travel&amp;Costs of Stay'!O:O,' 2-3-6. Travel&amp;Costs of Stay'!C:C,B63,' 2-3-6. Travel&amp;Costs of Stay'!B:B,$F$21)+SUMIFS(' 2-3-6. Travel&amp;Costs of Stay'!P:P,' 2-3-6. Travel&amp;Costs of Stay'!C:C,B63,' 2-3-6. Travel&amp;Costs of Stay'!B:B,$F$21)+SUMIFS('4. Equipment Costs'!H:H,'4. Equipment Costs'!C:C,B63,'4. Equipment Costs'!B:B,$F$21)+SUMIFS('5. Subcontracting Costs'!H:H,'5. Subcontracting Costs'!C:C,B63,'5. Subcontracting Costs'!B:B,$F$21)+SUMIFS(' 2-3-6. Travel&amp;Costs of Stay'!N:N,' 2-3-6. Travel&amp;Costs of Stay'!C:C,B63,' 2-3-6. Travel&amp;Costs of Stay'!B:B,$F$21)</f>
        <v>0</v>
      </c>
      <c r="G63" s="22">
        <f>SUMIFS('1. Staff costs'!S:S,'1. Staff costs'!C:C,B63,'1. Staff costs'!B:B,$G$21)+SUMIFS(' 2-3-6. Travel&amp;Costs of Stay'!O:O,' 2-3-6. Travel&amp;Costs of Stay'!C:C,B63,' 2-3-6. Travel&amp;Costs of Stay'!B:B,$G$21)+SUMIFS(' 2-3-6. Travel&amp;Costs of Stay'!P:P,' 2-3-6. Travel&amp;Costs of Stay'!C:C,B63,' 2-3-6. Travel&amp;Costs of Stay'!B:B,$G$21)+SUMIFS('4. Equipment Costs'!H:H,'4. Equipment Costs'!C:C,B63,'4. Equipment Costs'!B:B,$G$21)+SUMIFS('5. Subcontracting Costs'!H:H,'5. Subcontracting Costs'!C:C,B63,'5. Subcontracting Costs'!B:B,$G$21)+SUMIFS(' 2-3-6. Travel&amp;Costs of Stay'!N:N,' 2-3-6. Travel&amp;Costs of Stay'!C:C,B63,' 2-3-6. Travel&amp;Costs of Stay'!B:B,$G$21)</f>
        <v>0</v>
      </c>
      <c r="H63" s="233">
        <f t="shared" si="4"/>
        <v>0</v>
      </c>
      <c r="I63" s="234"/>
    </row>
    <row r="64" spans="2:9" x14ac:dyDescent="0.35">
      <c r="B64" s="48" t="s">
        <v>91</v>
      </c>
      <c r="C64" s="22">
        <f>SUMIFS('1. Staff costs'!S:S,'1. Staff costs'!C:C,B64,'1. Staff costs'!B:B,$C$21)+SUMIFS(' 2-3-6. Travel&amp;Costs of Stay'!O:O,' 2-3-6. Travel&amp;Costs of Stay'!C:C,B64,' 2-3-6. Travel&amp;Costs of Stay'!B:B,$C$21)+SUMIFS(' 2-3-6. Travel&amp;Costs of Stay'!P:P,' 2-3-6. Travel&amp;Costs of Stay'!C:C,B64,' 2-3-6. Travel&amp;Costs of Stay'!B:B,$C$21)+SUMIFS('4. Equipment Costs'!H:H,'4. Equipment Costs'!C:C,B64,'4. Equipment Costs'!B:B,$C$21)+SUMIFS('5. Subcontracting Costs'!H:H,'5. Subcontracting Costs'!C:C,B64,'5. Subcontracting Costs'!B:B,$C$21)+SUMIFS(' 2-3-6. Travel&amp;Costs of Stay'!N:N,' 2-3-6. Travel&amp;Costs of Stay'!C:C,B64,' 2-3-6. Travel&amp;Costs of Stay'!B:B,$C$21)</f>
        <v>0</v>
      </c>
      <c r="D64" s="22">
        <f>SUMIFS('1. Staff costs'!S:S,'1. Staff costs'!C:C,B64,'1. Staff costs'!B:B,$D$21)+SUMIFS(' 2-3-6. Travel&amp;Costs of Stay'!O:O,' 2-3-6. Travel&amp;Costs of Stay'!C:C,B64,' 2-3-6. Travel&amp;Costs of Stay'!B:B,$D$21)+SUMIFS(' 2-3-6. Travel&amp;Costs of Stay'!P:P,' 2-3-6. Travel&amp;Costs of Stay'!C:C,B64,' 2-3-6. Travel&amp;Costs of Stay'!B:B,$D$21)+SUMIFS('4. Equipment Costs'!H:H,'4. Equipment Costs'!C:C,B64,'4. Equipment Costs'!B:B,$D$21)+SUMIFS('5. Subcontracting Costs'!H:H,'5. Subcontracting Costs'!C:C,B64,'5. Subcontracting Costs'!B:B,$D$21)+SUMIFS(' 2-3-6. Travel&amp;Costs of Stay'!N:N,' 2-3-6. Travel&amp;Costs of Stay'!C:C,B64,' 2-3-6. Travel&amp;Costs of Stay'!B:B,$D$21)</f>
        <v>0</v>
      </c>
      <c r="E64" s="22">
        <f>SUMIFS('1. Staff costs'!S:S,'1. Staff costs'!C:C,B64,'1. Staff costs'!B:B,$E$21)+SUMIFS(' 2-3-6. Travel&amp;Costs of Stay'!O:O,' 2-3-6. Travel&amp;Costs of Stay'!C:C,B64,' 2-3-6. Travel&amp;Costs of Stay'!B:B,$E$21)+SUMIFS(' 2-3-6. Travel&amp;Costs of Stay'!P:P,' 2-3-6. Travel&amp;Costs of Stay'!C:C,B64,' 2-3-6. Travel&amp;Costs of Stay'!B:B,$E$21)+SUMIFS('4. Equipment Costs'!H:H,'4. Equipment Costs'!C:C,B64,'4. Equipment Costs'!B:B,$E$21)+SUMIFS('5. Subcontracting Costs'!H:H,'5. Subcontracting Costs'!C:C,B64,'5. Subcontracting Costs'!B:B,$E$21)+SUMIFS(' 2-3-6. Travel&amp;Costs of Stay'!N:N,' 2-3-6. Travel&amp;Costs of Stay'!C:C,B64,' 2-3-6. Travel&amp;Costs of Stay'!B:B,$E$21)</f>
        <v>0</v>
      </c>
      <c r="F64" s="22">
        <f>SUMIFS('1. Staff costs'!S:S,'1. Staff costs'!C:C,B64,'1. Staff costs'!B:B,$F$21)+SUMIFS(' 2-3-6. Travel&amp;Costs of Stay'!O:O,' 2-3-6. Travel&amp;Costs of Stay'!C:C,B64,' 2-3-6. Travel&amp;Costs of Stay'!B:B,$F$21)+SUMIFS(' 2-3-6. Travel&amp;Costs of Stay'!P:P,' 2-3-6. Travel&amp;Costs of Stay'!C:C,B64,' 2-3-6. Travel&amp;Costs of Stay'!B:B,$F$21)+SUMIFS('4. Equipment Costs'!H:H,'4. Equipment Costs'!C:C,B64,'4. Equipment Costs'!B:B,$F$21)+SUMIFS('5. Subcontracting Costs'!H:H,'5. Subcontracting Costs'!C:C,B64,'5. Subcontracting Costs'!B:B,$F$21)+SUMIFS(' 2-3-6. Travel&amp;Costs of Stay'!N:N,' 2-3-6. Travel&amp;Costs of Stay'!C:C,B64,' 2-3-6. Travel&amp;Costs of Stay'!B:B,$F$21)</f>
        <v>0</v>
      </c>
      <c r="G64" s="22">
        <f>SUMIFS('1. Staff costs'!S:S,'1. Staff costs'!C:C,B64,'1. Staff costs'!B:B,$G$21)+SUMIFS(' 2-3-6. Travel&amp;Costs of Stay'!O:O,' 2-3-6. Travel&amp;Costs of Stay'!C:C,B64,' 2-3-6. Travel&amp;Costs of Stay'!B:B,$G$21)+SUMIFS(' 2-3-6. Travel&amp;Costs of Stay'!P:P,' 2-3-6. Travel&amp;Costs of Stay'!C:C,B64,' 2-3-6. Travel&amp;Costs of Stay'!B:B,$G$21)+SUMIFS('4. Equipment Costs'!H:H,'4. Equipment Costs'!C:C,B64,'4. Equipment Costs'!B:B,$G$21)+SUMIFS('5. Subcontracting Costs'!H:H,'5. Subcontracting Costs'!C:C,B64,'5. Subcontracting Costs'!B:B,$G$21)+SUMIFS(' 2-3-6. Travel&amp;Costs of Stay'!N:N,' 2-3-6. Travel&amp;Costs of Stay'!C:C,B64,' 2-3-6. Travel&amp;Costs of Stay'!B:B,$G$21)</f>
        <v>0</v>
      </c>
      <c r="H64" s="233">
        <f t="shared" si="4"/>
        <v>0</v>
      </c>
      <c r="I64" s="234"/>
    </row>
    <row r="65" spans="2:9" x14ac:dyDescent="0.35">
      <c r="B65" s="48" t="s">
        <v>92</v>
      </c>
      <c r="C65" s="22">
        <f>SUMIFS('1. Staff costs'!S:S,'1. Staff costs'!C:C,B65,'1. Staff costs'!B:B,$C$21)+SUMIFS(' 2-3-6. Travel&amp;Costs of Stay'!O:O,' 2-3-6. Travel&amp;Costs of Stay'!C:C,B65,' 2-3-6. Travel&amp;Costs of Stay'!B:B,$C$21)+SUMIFS(' 2-3-6. Travel&amp;Costs of Stay'!P:P,' 2-3-6. Travel&amp;Costs of Stay'!C:C,B65,' 2-3-6. Travel&amp;Costs of Stay'!B:B,$C$21)+SUMIFS('4. Equipment Costs'!H:H,'4. Equipment Costs'!C:C,B65,'4. Equipment Costs'!B:B,$C$21)+SUMIFS('5. Subcontracting Costs'!H:H,'5. Subcontracting Costs'!C:C,B65,'5. Subcontracting Costs'!B:B,$C$21)+SUMIFS(' 2-3-6. Travel&amp;Costs of Stay'!N:N,' 2-3-6. Travel&amp;Costs of Stay'!C:C,B65,' 2-3-6. Travel&amp;Costs of Stay'!B:B,$C$21)</f>
        <v>0</v>
      </c>
      <c r="D65" s="22">
        <f>SUMIFS('1. Staff costs'!S:S,'1. Staff costs'!C:C,B65,'1. Staff costs'!B:B,$D$21)+SUMIFS(' 2-3-6. Travel&amp;Costs of Stay'!O:O,' 2-3-6. Travel&amp;Costs of Stay'!C:C,B65,' 2-3-6. Travel&amp;Costs of Stay'!B:B,$D$21)+SUMIFS(' 2-3-6. Travel&amp;Costs of Stay'!P:P,' 2-3-6. Travel&amp;Costs of Stay'!C:C,B65,' 2-3-6. Travel&amp;Costs of Stay'!B:B,$D$21)+SUMIFS('4. Equipment Costs'!H:H,'4. Equipment Costs'!C:C,B65,'4. Equipment Costs'!B:B,$D$21)+SUMIFS('5. Subcontracting Costs'!H:H,'5. Subcontracting Costs'!C:C,B65,'5. Subcontracting Costs'!B:B,$D$21)+SUMIFS(' 2-3-6. Travel&amp;Costs of Stay'!N:N,' 2-3-6. Travel&amp;Costs of Stay'!C:C,B65,' 2-3-6. Travel&amp;Costs of Stay'!B:B,$D$21)</f>
        <v>0</v>
      </c>
      <c r="E65" s="22">
        <f>SUMIFS('1. Staff costs'!S:S,'1. Staff costs'!C:C,B65,'1. Staff costs'!B:B,$E$21)+SUMIFS(' 2-3-6. Travel&amp;Costs of Stay'!O:O,' 2-3-6. Travel&amp;Costs of Stay'!C:C,B65,' 2-3-6. Travel&amp;Costs of Stay'!B:B,$E$21)+SUMIFS(' 2-3-6. Travel&amp;Costs of Stay'!P:P,' 2-3-6. Travel&amp;Costs of Stay'!C:C,B65,' 2-3-6. Travel&amp;Costs of Stay'!B:B,$E$21)+SUMIFS('4. Equipment Costs'!H:H,'4. Equipment Costs'!C:C,B65,'4. Equipment Costs'!B:B,$E$21)+SUMIFS('5. Subcontracting Costs'!H:H,'5. Subcontracting Costs'!C:C,B65,'5. Subcontracting Costs'!B:B,$E$21)+SUMIFS(' 2-3-6. Travel&amp;Costs of Stay'!N:N,' 2-3-6. Travel&amp;Costs of Stay'!C:C,B65,' 2-3-6. Travel&amp;Costs of Stay'!B:B,$E$21)</f>
        <v>0</v>
      </c>
      <c r="F65" s="22">
        <f>SUMIFS('1. Staff costs'!S:S,'1. Staff costs'!C:C,B65,'1. Staff costs'!B:B,$F$21)+SUMIFS(' 2-3-6. Travel&amp;Costs of Stay'!O:O,' 2-3-6. Travel&amp;Costs of Stay'!C:C,B65,' 2-3-6. Travel&amp;Costs of Stay'!B:B,$F$21)+SUMIFS(' 2-3-6. Travel&amp;Costs of Stay'!P:P,' 2-3-6. Travel&amp;Costs of Stay'!C:C,B65,' 2-3-6. Travel&amp;Costs of Stay'!B:B,$F$21)+SUMIFS('4. Equipment Costs'!H:H,'4. Equipment Costs'!C:C,B65,'4. Equipment Costs'!B:B,$F$21)+SUMIFS('5. Subcontracting Costs'!H:H,'5. Subcontracting Costs'!C:C,B65,'5. Subcontracting Costs'!B:B,$F$21)+SUMIFS(' 2-3-6. Travel&amp;Costs of Stay'!N:N,' 2-3-6. Travel&amp;Costs of Stay'!C:C,B65,' 2-3-6. Travel&amp;Costs of Stay'!B:B,$F$21)</f>
        <v>0</v>
      </c>
      <c r="G65" s="22">
        <f>SUMIFS('1. Staff costs'!S:S,'1. Staff costs'!C:C,B65,'1. Staff costs'!B:B,$G$21)+SUMIFS(' 2-3-6. Travel&amp;Costs of Stay'!O:O,' 2-3-6. Travel&amp;Costs of Stay'!C:C,B65,' 2-3-6. Travel&amp;Costs of Stay'!B:B,$G$21)+SUMIFS(' 2-3-6. Travel&amp;Costs of Stay'!P:P,' 2-3-6. Travel&amp;Costs of Stay'!C:C,B65,' 2-3-6. Travel&amp;Costs of Stay'!B:B,$G$21)+SUMIFS('4. Equipment Costs'!H:H,'4. Equipment Costs'!C:C,B65,'4. Equipment Costs'!B:B,$G$21)+SUMIFS('5. Subcontracting Costs'!H:H,'5. Subcontracting Costs'!C:C,B65,'5. Subcontracting Costs'!B:B,$G$21)+SUMIFS(' 2-3-6. Travel&amp;Costs of Stay'!N:N,' 2-3-6. Travel&amp;Costs of Stay'!C:C,B65,' 2-3-6. Travel&amp;Costs of Stay'!B:B,$G$21)</f>
        <v>0</v>
      </c>
      <c r="H65" s="233">
        <f t="shared" si="4"/>
        <v>0</v>
      </c>
      <c r="I65" s="234"/>
    </row>
    <row r="66" spans="2:9" x14ac:dyDescent="0.35">
      <c r="B66" s="48" t="s">
        <v>93</v>
      </c>
      <c r="C66" s="22">
        <f>SUMIFS('1. Staff costs'!S:S,'1. Staff costs'!C:C,B66,'1. Staff costs'!B:B,$C$21)+SUMIFS(' 2-3-6. Travel&amp;Costs of Stay'!O:O,' 2-3-6. Travel&amp;Costs of Stay'!C:C,B66,' 2-3-6. Travel&amp;Costs of Stay'!B:B,$C$21)+SUMIFS(' 2-3-6. Travel&amp;Costs of Stay'!P:P,' 2-3-6. Travel&amp;Costs of Stay'!C:C,B66,' 2-3-6. Travel&amp;Costs of Stay'!B:B,$C$21)+SUMIFS('4. Equipment Costs'!H:H,'4. Equipment Costs'!C:C,B66,'4. Equipment Costs'!B:B,$C$21)+SUMIFS('5. Subcontracting Costs'!H:H,'5. Subcontracting Costs'!C:C,B66,'5. Subcontracting Costs'!B:B,$C$21)+SUMIFS(' 2-3-6. Travel&amp;Costs of Stay'!N:N,' 2-3-6. Travel&amp;Costs of Stay'!C:C,B66,' 2-3-6. Travel&amp;Costs of Stay'!B:B,$C$21)</f>
        <v>0</v>
      </c>
      <c r="D66" s="22">
        <f>SUMIFS('1. Staff costs'!S:S,'1. Staff costs'!C:C,B66,'1. Staff costs'!B:B,$D$21)+SUMIFS(' 2-3-6. Travel&amp;Costs of Stay'!O:O,' 2-3-6. Travel&amp;Costs of Stay'!C:C,B66,' 2-3-6. Travel&amp;Costs of Stay'!B:B,$D$21)+SUMIFS(' 2-3-6. Travel&amp;Costs of Stay'!P:P,' 2-3-6. Travel&amp;Costs of Stay'!C:C,B66,' 2-3-6. Travel&amp;Costs of Stay'!B:B,$D$21)+SUMIFS('4. Equipment Costs'!H:H,'4. Equipment Costs'!C:C,B66,'4. Equipment Costs'!B:B,$D$21)+SUMIFS('5. Subcontracting Costs'!H:H,'5. Subcontracting Costs'!C:C,B66,'5. Subcontracting Costs'!B:B,$D$21)+SUMIFS(' 2-3-6. Travel&amp;Costs of Stay'!N:N,' 2-3-6. Travel&amp;Costs of Stay'!C:C,B66,' 2-3-6. Travel&amp;Costs of Stay'!B:B,$D$21)</f>
        <v>0</v>
      </c>
      <c r="E66" s="22">
        <f>SUMIFS('1. Staff costs'!S:S,'1. Staff costs'!C:C,B66,'1. Staff costs'!B:B,$E$21)+SUMIFS(' 2-3-6. Travel&amp;Costs of Stay'!O:O,' 2-3-6. Travel&amp;Costs of Stay'!C:C,B66,' 2-3-6. Travel&amp;Costs of Stay'!B:B,$E$21)+SUMIFS(' 2-3-6. Travel&amp;Costs of Stay'!P:P,' 2-3-6. Travel&amp;Costs of Stay'!C:C,B66,' 2-3-6. Travel&amp;Costs of Stay'!B:B,$E$21)+SUMIFS('4. Equipment Costs'!H:H,'4. Equipment Costs'!C:C,B66,'4. Equipment Costs'!B:B,$E$21)+SUMIFS('5. Subcontracting Costs'!H:H,'5. Subcontracting Costs'!C:C,B66,'5. Subcontracting Costs'!B:B,$E$21)+SUMIFS(' 2-3-6. Travel&amp;Costs of Stay'!N:N,' 2-3-6. Travel&amp;Costs of Stay'!C:C,B66,' 2-3-6. Travel&amp;Costs of Stay'!B:B,$E$21)</f>
        <v>0</v>
      </c>
      <c r="F66" s="22">
        <f>SUMIFS('1. Staff costs'!S:S,'1. Staff costs'!C:C,B66,'1. Staff costs'!B:B,$F$21)+SUMIFS(' 2-3-6. Travel&amp;Costs of Stay'!O:O,' 2-3-6. Travel&amp;Costs of Stay'!C:C,B66,' 2-3-6. Travel&amp;Costs of Stay'!B:B,$F$21)+SUMIFS(' 2-3-6. Travel&amp;Costs of Stay'!P:P,' 2-3-6. Travel&amp;Costs of Stay'!C:C,B66,' 2-3-6. Travel&amp;Costs of Stay'!B:B,$F$21)+SUMIFS('4. Equipment Costs'!H:H,'4. Equipment Costs'!C:C,B66,'4. Equipment Costs'!B:B,$F$21)+SUMIFS('5. Subcontracting Costs'!H:H,'5. Subcontracting Costs'!C:C,B66,'5. Subcontracting Costs'!B:B,$F$21)+SUMIFS(' 2-3-6. Travel&amp;Costs of Stay'!N:N,' 2-3-6. Travel&amp;Costs of Stay'!C:C,B66,' 2-3-6. Travel&amp;Costs of Stay'!B:B,$F$21)</f>
        <v>0</v>
      </c>
      <c r="G66" s="22">
        <f>SUMIFS('1. Staff costs'!S:S,'1. Staff costs'!C:C,B66,'1. Staff costs'!B:B,$G$21)+SUMIFS(' 2-3-6. Travel&amp;Costs of Stay'!O:O,' 2-3-6. Travel&amp;Costs of Stay'!C:C,B66,' 2-3-6. Travel&amp;Costs of Stay'!B:B,$G$21)+SUMIFS(' 2-3-6. Travel&amp;Costs of Stay'!P:P,' 2-3-6. Travel&amp;Costs of Stay'!C:C,B66,' 2-3-6. Travel&amp;Costs of Stay'!B:B,$G$21)+SUMIFS('4. Equipment Costs'!H:H,'4. Equipment Costs'!C:C,B66,'4. Equipment Costs'!B:B,$G$21)+SUMIFS('5. Subcontracting Costs'!H:H,'5. Subcontracting Costs'!C:C,B66,'5. Subcontracting Costs'!B:B,$G$21)+SUMIFS(' 2-3-6. Travel&amp;Costs of Stay'!N:N,' 2-3-6. Travel&amp;Costs of Stay'!C:C,B66,' 2-3-6. Travel&amp;Costs of Stay'!B:B,$G$21)</f>
        <v>0</v>
      </c>
      <c r="H66" s="233">
        <f t="shared" si="4"/>
        <v>0</v>
      </c>
      <c r="I66" s="234"/>
    </row>
    <row r="67" spans="2:9" x14ac:dyDescent="0.35">
      <c r="B67" s="48" t="s">
        <v>94</v>
      </c>
      <c r="C67" s="22">
        <f>SUMIFS('1. Staff costs'!S:S,'1. Staff costs'!C:C,B67,'1. Staff costs'!B:B,$C$21)+SUMIFS(' 2-3-6. Travel&amp;Costs of Stay'!O:O,' 2-3-6. Travel&amp;Costs of Stay'!C:C,B67,' 2-3-6. Travel&amp;Costs of Stay'!B:B,$C$21)+SUMIFS(' 2-3-6. Travel&amp;Costs of Stay'!P:P,' 2-3-6. Travel&amp;Costs of Stay'!C:C,B67,' 2-3-6. Travel&amp;Costs of Stay'!B:B,$C$21)+SUMIFS('4. Equipment Costs'!H:H,'4. Equipment Costs'!C:C,B67,'4. Equipment Costs'!B:B,$C$21)+SUMIFS('5. Subcontracting Costs'!H:H,'5. Subcontracting Costs'!C:C,B67,'5. Subcontracting Costs'!B:B,$C$21)+SUMIFS(' 2-3-6. Travel&amp;Costs of Stay'!N:N,' 2-3-6. Travel&amp;Costs of Stay'!C:C,B67,' 2-3-6. Travel&amp;Costs of Stay'!B:B,$C$21)</f>
        <v>0</v>
      </c>
      <c r="D67" s="22">
        <f>SUMIFS('1. Staff costs'!S:S,'1. Staff costs'!C:C,B67,'1. Staff costs'!B:B,$D$21)+SUMIFS(' 2-3-6. Travel&amp;Costs of Stay'!O:O,' 2-3-6. Travel&amp;Costs of Stay'!C:C,B67,' 2-3-6. Travel&amp;Costs of Stay'!B:B,$D$21)+SUMIFS(' 2-3-6. Travel&amp;Costs of Stay'!P:P,' 2-3-6. Travel&amp;Costs of Stay'!C:C,B67,' 2-3-6. Travel&amp;Costs of Stay'!B:B,$D$21)+SUMIFS('4. Equipment Costs'!H:H,'4. Equipment Costs'!C:C,B67,'4. Equipment Costs'!B:B,$D$21)+SUMIFS('5. Subcontracting Costs'!H:H,'5. Subcontracting Costs'!C:C,B67,'5. Subcontracting Costs'!B:B,$D$21)+SUMIFS(' 2-3-6. Travel&amp;Costs of Stay'!N:N,' 2-3-6. Travel&amp;Costs of Stay'!C:C,B67,' 2-3-6. Travel&amp;Costs of Stay'!B:B,$D$21)</f>
        <v>0</v>
      </c>
      <c r="E67" s="22">
        <f>SUMIFS('1. Staff costs'!S:S,'1. Staff costs'!C:C,B67,'1. Staff costs'!B:B,$E$21)+SUMIFS(' 2-3-6. Travel&amp;Costs of Stay'!O:O,' 2-3-6. Travel&amp;Costs of Stay'!C:C,B67,' 2-3-6. Travel&amp;Costs of Stay'!B:B,$E$21)+SUMIFS(' 2-3-6. Travel&amp;Costs of Stay'!P:P,' 2-3-6. Travel&amp;Costs of Stay'!C:C,B67,' 2-3-6. Travel&amp;Costs of Stay'!B:B,$E$21)+SUMIFS('4. Equipment Costs'!H:H,'4. Equipment Costs'!C:C,B67,'4. Equipment Costs'!B:B,$E$21)+SUMIFS('5. Subcontracting Costs'!H:H,'5. Subcontracting Costs'!C:C,B67,'5. Subcontracting Costs'!B:B,$E$21)+SUMIFS(' 2-3-6. Travel&amp;Costs of Stay'!N:N,' 2-3-6. Travel&amp;Costs of Stay'!C:C,B67,' 2-3-6. Travel&amp;Costs of Stay'!B:B,$E$21)</f>
        <v>0</v>
      </c>
      <c r="F67" s="22">
        <f>SUMIFS('1. Staff costs'!S:S,'1. Staff costs'!C:C,B67,'1. Staff costs'!B:B,$F$21)+SUMIFS(' 2-3-6. Travel&amp;Costs of Stay'!O:O,' 2-3-6. Travel&amp;Costs of Stay'!C:C,B67,' 2-3-6. Travel&amp;Costs of Stay'!B:B,$F$21)+SUMIFS(' 2-3-6. Travel&amp;Costs of Stay'!P:P,' 2-3-6. Travel&amp;Costs of Stay'!C:C,B67,' 2-3-6. Travel&amp;Costs of Stay'!B:B,$F$21)+SUMIFS('4. Equipment Costs'!H:H,'4. Equipment Costs'!C:C,B67,'4. Equipment Costs'!B:B,$F$21)+SUMIFS('5. Subcontracting Costs'!H:H,'5. Subcontracting Costs'!C:C,B67,'5. Subcontracting Costs'!B:B,$F$21)+SUMIFS(' 2-3-6. Travel&amp;Costs of Stay'!N:N,' 2-3-6. Travel&amp;Costs of Stay'!C:C,B67,' 2-3-6. Travel&amp;Costs of Stay'!B:B,$F$21)</f>
        <v>0</v>
      </c>
      <c r="G67" s="22">
        <f>SUMIFS('1. Staff costs'!S:S,'1. Staff costs'!C:C,B67,'1. Staff costs'!B:B,$G$21)+SUMIFS(' 2-3-6. Travel&amp;Costs of Stay'!O:O,' 2-3-6. Travel&amp;Costs of Stay'!C:C,B67,' 2-3-6. Travel&amp;Costs of Stay'!B:B,$G$21)+SUMIFS(' 2-3-6. Travel&amp;Costs of Stay'!P:P,' 2-3-6. Travel&amp;Costs of Stay'!C:C,B67,' 2-3-6. Travel&amp;Costs of Stay'!B:B,$G$21)+SUMIFS('4. Equipment Costs'!H:H,'4. Equipment Costs'!C:C,B67,'4. Equipment Costs'!B:B,$G$21)+SUMIFS('5. Subcontracting Costs'!H:H,'5. Subcontracting Costs'!C:C,B67,'5. Subcontracting Costs'!B:B,$G$21)+SUMIFS(' 2-3-6. Travel&amp;Costs of Stay'!N:N,' 2-3-6. Travel&amp;Costs of Stay'!C:C,B67,' 2-3-6. Travel&amp;Costs of Stay'!B:B,$G$21)</f>
        <v>0</v>
      </c>
      <c r="H67" s="233">
        <f t="shared" si="4"/>
        <v>0</v>
      </c>
      <c r="I67" s="234"/>
    </row>
    <row r="68" spans="2:9" x14ac:dyDescent="0.35">
      <c r="B68" s="48" t="s">
        <v>95</v>
      </c>
      <c r="C68" s="22">
        <f>SUMIFS('1. Staff costs'!S:S,'1. Staff costs'!C:C,B68,'1. Staff costs'!B:B,$C$21)+SUMIFS(' 2-3-6. Travel&amp;Costs of Stay'!O:O,' 2-3-6. Travel&amp;Costs of Stay'!C:C,B68,' 2-3-6. Travel&amp;Costs of Stay'!B:B,$C$21)+SUMIFS(' 2-3-6. Travel&amp;Costs of Stay'!P:P,' 2-3-6. Travel&amp;Costs of Stay'!C:C,B68,' 2-3-6. Travel&amp;Costs of Stay'!B:B,$C$21)+SUMIFS('4. Equipment Costs'!H:H,'4. Equipment Costs'!C:C,B68,'4. Equipment Costs'!B:B,$C$21)+SUMIFS('5. Subcontracting Costs'!H:H,'5. Subcontracting Costs'!C:C,B68,'5. Subcontracting Costs'!B:B,$C$21)+SUMIFS(' 2-3-6. Travel&amp;Costs of Stay'!N:N,' 2-3-6. Travel&amp;Costs of Stay'!C:C,B68,' 2-3-6. Travel&amp;Costs of Stay'!B:B,$C$21)</f>
        <v>0</v>
      </c>
      <c r="D68" s="22">
        <f>SUMIFS('1. Staff costs'!S:S,'1. Staff costs'!C:C,B68,'1. Staff costs'!B:B,$D$21)+SUMIFS(' 2-3-6. Travel&amp;Costs of Stay'!O:O,' 2-3-6. Travel&amp;Costs of Stay'!C:C,B68,' 2-3-6. Travel&amp;Costs of Stay'!B:B,$D$21)+SUMIFS(' 2-3-6. Travel&amp;Costs of Stay'!P:P,' 2-3-6. Travel&amp;Costs of Stay'!C:C,B68,' 2-3-6. Travel&amp;Costs of Stay'!B:B,$D$21)+SUMIFS('4. Equipment Costs'!H:H,'4. Equipment Costs'!C:C,B68,'4. Equipment Costs'!B:B,$D$21)+SUMIFS('5. Subcontracting Costs'!H:H,'5. Subcontracting Costs'!C:C,B68,'5. Subcontracting Costs'!B:B,$D$21)+SUMIFS(' 2-3-6. Travel&amp;Costs of Stay'!N:N,' 2-3-6. Travel&amp;Costs of Stay'!C:C,B68,' 2-3-6. Travel&amp;Costs of Stay'!B:B,$D$21)</f>
        <v>0</v>
      </c>
      <c r="E68" s="22">
        <f>SUMIFS('1. Staff costs'!S:S,'1. Staff costs'!C:C,B68,'1. Staff costs'!B:B,$E$21)+SUMIFS(' 2-3-6. Travel&amp;Costs of Stay'!O:O,' 2-3-6. Travel&amp;Costs of Stay'!C:C,B68,' 2-3-6. Travel&amp;Costs of Stay'!B:B,$E$21)+SUMIFS(' 2-3-6. Travel&amp;Costs of Stay'!P:P,' 2-3-6. Travel&amp;Costs of Stay'!C:C,B68,' 2-3-6. Travel&amp;Costs of Stay'!B:B,$E$21)+SUMIFS('4. Equipment Costs'!H:H,'4. Equipment Costs'!C:C,B68,'4. Equipment Costs'!B:B,$E$21)+SUMIFS('5. Subcontracting Costs'!H:H,'5. Subcontracting Costs'!C:C,B68,'5. Subcontracting Costs'!B:B,$E$21)+SUMIFS(' 2-3-6. Travel&amp;Costs of Stay'!N:N,' 2-3-6. Travel&amp;Costs of Stay'!C:C,B68,' 2-3-6. Travel&amp;Costs of Stay'!B:B,$E$21)</f>
        <v>0</v>
      </c>
      <c r="F68" s="22">
        <f>SUMIFS('1. Staff costs'!S:S,'1. Staff costs'!C:C,B68,'1. Staff costs'!B:B,$F$21)+SUMIFS(' 2-3-6. Travel&amp;Costs of Stay'!O:O,' 2-3-6. Travel&amp;Costs of Stay'!C:C,B68,' 2-3-6. Travel&amp;Costs of Stay'!B:B,$F$21)+SUMIFS(' 2-3-6. Travel&amp;Costs of Stay'!P:P,' 2-3-6. Travel&amp;Costs of Stay'!C:C,B68,' 2-3-6. Travel&amp;Costs of Stay'!B:B,$F$21)+SUMIFS('4. Equipment Costs'!H:H,'4. Equipment Costs'!C:C,B68,'4. Equipment Costs'!B:B,$F$21)+SUMIFS('5. Subcontracting Costs'!H:H,'5. Subcontracting Costs'!C:C,B68,'5. Subcontracting Costs'!B:B,$F$21)+SUMIFS(' 2-3-6. Travel&amp;Costs of Stay'!N:N,' 2-3-6. Travel&amp;Costs of Stay'!C:C,B68,' 2-3-6. Travel&amp;Costs of Stay'!B:B,$F$21)</f>
        <v>0</v>
      </c>
      <c r="G68" s="22">
        <f>SUMIFS('1. Staff costs'!S:S,'1. Staff costs'!C:C,B68,'1. Staff costs'!B:B,$G$21)+SUMIFS(' 2-3-6. Travel&amp;Costs of Stay'!O:O,' 2-3-6. Travel&amp;Costs of Stay'!C:C,B68,' 2-3-6. Travel&amp;Costs of Stay'!B:B,$G$21)+SUMIFS(' 2-3-6. Travel&amp;Costs of Stay'!P:P,' 2-3-6. Travel&amp;Costs of Stay'!C:C,B68,' 2-3-6. Travel&amp;Costs of Stay'!B:B,$G$21)+SUMIFS('4. Equipment Costs'!H:H,'4. Equipment Costs'!C:C,B68,'4. Equipment Costs'!B:B,$G$21)+SUMIFS('5. Subcontracting Costs'!H:H,'5. Subcontracting Costs'!C:C,B68,'5. Subcontracting Costs'!B:B,$G$21)+SUMIFS(' 2-3-6. Travel&amp;Costs of Stay'!N:N,' 2-3-6. Travel&amp;Costs of Stay'!C:C,B68,' 2-3-6. Travel&amp;Costs of Stay'!B:B,$G$21)</f>
        <v>0</v>
      </c>
      <c r="H68" s="233">
        <f t="shared" si="4"/>
        <v>0</v>
      </c>
      <c r="I68" s="234"/>
    </row>
    <row r="69" spans="2:9" x14ac:dyDescent="0.35">
      <c r="B69" s="48" t="s">
        <v>96</v>
      </c>
      <c r="C69" s="22">
        <f>SUMIFS('1. Staff costs'!S:S,'1. Staff costs'!C:C,B69,'1. Staff costs'!B:B,$C$21)+SUMIFS(' 2-3-6. Travel&amp;Costs of Stay'!O:O,' 2-3-6. Travel&amp;Costs of Stay'!C:C,B69,' 2-3-6. Travel&amp;Costs of Stay'!B:B,$C$21)+SUMIFS(' 2-3-6. Travel&amp;Costs of Stay'!P:P,' 2-3-6. Travel&amp;Costs of Stay'!C:C,B69,' 2-3-6. Travel&amp;Costs of Stay'!B:B,$C$21)+SUMIFS('4. Equipment Costs'!H:H,'4. Equipment Costs'!C:C,B69,'4. Equipment Costs'!B:B,$C$21)+SUMIFS('5. Subcontracting Costs'!H:H,'5. Subcontracting Costs'!C:C,B69,'5. Subcontracting Costs'!B:B,$C$21)+SUMIFS(' 2-3-6. Travel&amp;Costs of Stay'!N:N,' 2-3-6. Travel&amp;Costs of Stay'!C:C,B69,' 2-3-6. Travel&amp;Costs of Stay'!B:B,$C$21)</f>
        <v>0</v>
      </c>
      <c r="D69" s="22">
        <f>SUMIFS('1. Staff costs'!S:S,'1. Staff costs'!C:C,B69,'1. Staff costs'!B:B,$D$21)+SUMIFS(' 2-3-6. Travel&amp;Costs of Stay'!O:O,' 2-3-6. Travel&amp;Costs of Stay'!C:C,B69,' 2-3-6. Travel&amp;Costs of Stay'!B:B,$D$21)+SUMIFS(' 2-3-6. Travel&amp;Costs of Stay'!P:P,' 2-3-6. Travel&amp;Costs of Stay'!C:C,B69,' 2-3-6. Travel&amp;Costs of Stay'!B:B,$D$21)+SUMIFS('4. Equipment Costs'!H:H,'4. Equipment Costs'!C:C,B69,'4. Equipment Costs'!B:B,$D$21)+SUMIFS('5. Subcontracting Costs'!H:H,'5. Subcontracting Costs'!C:C,B69,'5. Subcontracting Costs'!B:B,$D$21)+SUMIFS(' 2-3-6. Travel&amp;Costs of Stay'!N:N,' 2-3-6. Travel&amp;Costs of Stay'!C:C,B69,' 2-3-6. Travel&amp;Costs of Stay'!B:B,$D$21)</f>
        <v>0</v>
      </c>
      <c r="E69" s="22">
        <f>SUMIFS('1. Staff costs'!S:S,'1. Staff costs'!C:C,B69,'1. Staff costs'!B:B,$E$21)+SUMIFS(' 2-3-6. Travel&amp;Costs of Stay'!O:O,' 2-3-6. Travel&amp;Costs of Stay'!C:C,B69,' 2-3-6. Travel&amp;Costs of Stay'!B:B,$E$21)+SUMIFS(' 2-3-6. Travel&amp;Costs of Stay'!P:P,' 2-3-6. Travel&amp;Costs of Stay'!C:C,B69,' 2-3-6. Travel&amp;Costs of Stay'!B:B,$E$21)+SUMIFS('4. Equipment Costs'!H:H,'4. Equipment Costs'!C:C,B69,'4. Equipment Costs'!B:B,$E$21)+SUMIFS('5. Subcontracting Costs'!H:H,'5. Subcontracting Costs'!C:C,B69,'5. Subcontracting Costs'!B:B,$E$21)+SUMIFS(' 2-3-6. Travel&amp;Costs of Stay'!N:N,' 2-3-6. Travel&amp;Costs of Stay'!C:C,B69,' 2-3-6. Travel&amp;Costs of Stay'!B:B,$E$21)</f>
        <v>0</v>
      </c>
      <c r="F69" s="22">
        <f>SUMIFS('1. Staff costs'!S:S,'1. Staff costs'!C:C,B69,'1. Staff costs'!B:B,$F$21)+SUMIFS(' 2-3-6. Travel&amp;Costs of Stay'!O:O,' 2-3-6. Travel&amp;Costs of Stay'!C:C,B69,' 2-3-6. Travel&amp;Costs of Stay'!B:B,$F$21)+SUMIFS(' 2-3-6. Travel&amp;Costs of Stay'!P:P,' 2-3-6. Travel&amp;Costs of Stay'!C:C,B69,' 2-3-6. Travel&amp;Costs of Stay'!B:B,$F$21)+SUMIFS('4. Equipment Costs'!H:H,'4. Equipment Costs'!C:C,B69,'4. Equipment Costs'!B:B,$F$21)+SUMIFS('5. Subcontracting Costs'!H:H,'5. Subcontracting Costs'!C:C,B69,'5. Subcontracting Costs'!B:B,$F$21)+SUMIFS(' 2-3-6. Travel&amp;Costs of Stay'!N:N,' 2-3-6. Travel&amp;Costs of Stay'!C:C,B69,' 2-3-6. Travel&amp;Costs of Stay'!B:B,$F$21)</f>
        <v>0</v>
      </c>
      <c r="G69" s="22">
        <f>SUMIFS('1. Staff costs'!S:S,'1. Staff costs'!C:C,B69,'1. Staff costs'!B:B,$G$21)+SUMIFS(' 2-3-6. Travel&amp;Costs of Stay'!O:O,' 2-3-6. Travel&amp;Costs of Stay'!C:C,B69,' 2-3-6. Travel&amp;Costs of Stay'!B:B,$G$21)+SUMIFS(' 2-3-6. Travel&amp;Costs of Stay'!P:P,' 2-3-6. Travel&amp;Costs of Stay'!C:C,B69,' 2-3-6. Travel&amp;Costs of Stay'!B:B,$G$21)+SUMIFS('4. Equipment Costs'!H:H,'4. Equipment Costs'!C:C,B69,'4. Equipment Costs'!B:B,$G$21)+SUMIFS('5. Subcontracting Costs'!H:H,'5. Subcontracting Costs'!C:C,B69,'5. Subcontracting Costs'!B:B,$G$21)+SUMIFS(' 2-3-6. Travel&amp;Costs of Stay'!N:N,' 2-3-6. Travel&amp;Costs of Stay'!C:C,B69,' 2-3-6. Travel&amp;Costs of Stay'!B:B,$G$21)</f>
        <v>0</v>
      </c>
      <c r="H69" s="233">
        <f t="shared" si="4"/>
        <v>0</v>
      </c>
      <c r="I69" s="234"/>
    </row>
    <row r="70" spans="2:9" x14ac:dyDescent="0.35">
      <c r="B70" s="48" t="s">
        <v>97</v>
      </c>
      <c r="C70" s="22">
        <f>SUMIFS('1. Staff costs'!S:S,'1. Staff costs'!C:C,B70,'1. Staff costs'!B:B,$C$21)+SUMIFS(' 2-3-6. Travel&amp;Costs of Stay'!O:O,' 2-3-6. Travel&amp;Costs of Stay'!C:C,B70,' 2-3-6. Travel&amp;Costs of Stay'!B:B,$C$21)+SUMIFS(' 2-3-6. Travel&amp;Costs of Stay'!P:P,' 2-3-6. Travel&amp;Costs of Stay'!C:C,B70,' 2-3-6. Travel&amp;Costs of Stay'!B:B,$C$21)+SUMIFS('4. Equipment Costs'!H:H,'4. Equipment Costs'!C:C,B70,'4. Equipment Costs'!B:B,$C$21)+SUMIFS('5. Subcontracting Costs'!H:H,'5. Subcontracting Costs'!C:C,B70,'5. Subcontracting Costs'!B:B,$C$21)+SUMIFS(' 2-3-6. Travel&amp;Costs of Stay'!N:N,' 2-3-6. Travel&amp;Costs of Stay'!C:C,B70,' 2-3-6. Travel&amp;Costs of Stay'!B:B,$C$21)</f>
        <v>0</v>
      </c>
      <c r="D70" s="22">
        <f>SUMIFS('1. Staff costs'!S:S,'1. Staff costs'!C:C,B70,'1. Staff costs'!B:B,$D$21)+SUMIFS(' 2-3-6. Travel&amp;Costs of Stay'!O:O,' 2-3-6. Travel&amp;Costs of Stay'!C:C,B70,' 2-3-6. Travel&amp;Costs of Stay'!B:B,$D$21)+SUMIFS(' 2-3-6. Travel&amp;Costs of Stay'!P:P,' 2-3-6. Travel&amp;Costs of Stay'!C:C,B70,' 2-3-6. Travel&amp;Costs of Stay'!B:B,$D$21)+SUMIFS('4. Equipment Costs'!H:H,'4. Equipment Costs'!C:C,B70,'4. Equipment Costs'!B:B,$D$21)+SUMIFS('5. Subcontracting Costs'!H:H,'5. Subcontracting Costs'!C:C,B70,'5. Subcontracting Costs'!B:B,$D$21)+SUMIFS(' 2-3-6. Travel&amp;Costs of Stay'!N:N,' 2-3-6. Travel&amp;Costs of Stay'!C:C,B70,' 2-3-6. Travel&amp;Costs of Stay'!B:B,$D$21)</f>
        <v>0</v>
      </c>
      <c r="E70" s="22">
        <f>SUMIFS('1. Staff costs'!S:S,'1. Staff costs'!C:C,B70,'1. Staff costs'!B:B,$E$21)+SUMIFS(' 2-3-6. Travel&amp;Costs of Stay'!O:O,' 2-3-6. Travel&amp;Costs of Stay'!C:C,B70,' 2-3-6. Travel&amp;Costs of Stay'!B:B,$E$21)+SUMIFS(' 2-3-6. Travel&amp;Costs of Stay'!P:P,' 2-3-6. Travel&amp;Costs of Stay'!C:C,B70,' 2-3-6. Travel&amp;Costs of Stay'!B:B,$E$21)+SUMIFS('4. Equipment Costs'!H:H,'4. Equipment Costs'!C:C,B70,'4. Equipment Costs'!B:B,$E$21)+SUMIFS('5. Subcontracting Costs'!H:H,'5. Subcontracting Costs'!C:C,B70,'5. Subcontracting Costs'!B:B,$E$21)+SUMIFS(' 2-3-6. Travel&amp;Costs of Stay'!N:N,' 2-3-6. Travel&amp;Costs of Stay'!C:C,B70,' 2-3-6. Travel&amp;Costs of Stay'!B:B,$E$21)</f>
        <v>0</v>
      </c>
      <c r="F70" s="22">
        <f>SUMIFS('1. Staff costs'!S:S,'1. Staff costs'!C:C,B70,'1. Staff costs'!B:B,$F$21)+SUMIFS(' 2-3-6. Travel&amp;Costs of Stay'!O:O,' 2-3-6. Travel&amp;Costs of Stay'!C:C,B70,' 2-3-6. Travel&amp;Costs of Stay'!B:B,$F$21)+SUMIFS(' 2-3-6. Travel&amp;Costs of Stay'!P:P,' 2-3-6. Travel&amp;Costs of Stay'!C:C,B70,' 2-3-6. Travel&amp;Costs of Stay'!B:B,$F$21)+SUMIFS('4. Equipment Costs'!H:H,'4. Equipment Costs'!C:C,B70,'4. Equipment Costs'!B:B,$F$21)+SUMIFS('5. Subcontracting Costs'!H:H,'5. Subcontracting Costs'!C:C,B70,'5. Subcontracting Costs'!B:B,$F$21)+SUMIFS(' 2-3-6. Travel&amp;Costs of Stay'!N:N,' 2-3-6. Travel&amp;Costs of Stay'!C:C,B70,' 2-3-6. Travel&amp;Costs of Stay'!B:B,$F$21)</f>
        <v>0</v>
      </c>
      <c r="G70" s="22">
        <f>SUMIFS('1. Staff costs'!S:S,'1. Staff costs'!C:C,B70,'1. Staff costs'!B:B,$G$21)+SUMIFS(' 2-3-6. Travel&amp;Costs of Stay'!O:O,' 2-3-6. Travel&amp;Costs of Stay'!C:C,B70,' 2-3-6. Travel&amp;Costs of Stay'!B:B,$G$21)+SUMIFS(' 2-3-6. Travel&amp;Costs of Stay'!P:P,' 2-3-6. Travel&amp;Costs of Stay'!C:C,B70,' 2-3-6. Travel&amp;Costs of Stay'!B:B,$G$21)+SUMIFS('4. Equipment Costs'!H:H,'4. Equipment Costs'!C:C,B70,'4. Equipment Costs'!B:B,$G$21)+SUMIFS('5. Subcontracting Costs'!H:H,'5. Subcontracting Costs'!C:C,B70,'5. Subcontracting Costs'!B:B,$G$21)+SUMIFS(' 2-3-6. Travel&amp;Costs of Stay'!N:N,' 2-3-6. Travel&amp;Costs of Stay'!C:C,B70,' 2-3-6. Travel&amp;Costs of Stay'!B:B,$G$21)</f>
        <v>0</v>
      </c>
      <c r="H70" s="233">
        <f t="shared" si="4"/>
        <v>0</v>
      </c>
      <c r="I70" s="234"/>
    </row>
    <row r="71" spans="2:9" x14ac:dyDescent="0.35">
      <c r="B71" s="48" t="s">
        <v>98</v>
      </c>
      <c r="C71" s="22">
        <f>SUMIFS('1. Staff costs'!S:S,'1. Staff costs'!C:C,B71,'1. Staff costs'!B:B,$C$21)+SUMIFS(' 2-3-6. Travel&amp;Costs of Stay'!O:O,' 2-3-6. Travel&amp;Costs of Stay'!C:C,B71,' 2-3-6. Travel&amp;Costs of Stay'!B:B,$C$21)+SUMIFS(' 2-3-6. Travel&amp;Costs of Stay'!P:P,' 2-3-6. Travel&amp;Costs of Stay'!C:C,B71,' 2-3-6. Travel&amp;Costs of Stay'!B:B,$C$21)+SUMIFS('4. Equipment Costs'!H:H,'4. Equipment Costs'!C:C,B71,'4. Equipment Costs'!B:B,$C$21)+SUMIFS('5. Subcontracting Costs'!H:H,'5. Subcontracting Costs'!C:C,B71,'5. Subcontracting Costs'!B:B,$C$21)+SUMIFS(' 2-3-6. Travel&amp;Costs of Stay'!N:N,' 2-3-6. Travel&amp;Costs of Stay'!C:C,B71,' 2-3-6. Travel&amp;Costs of Stay'!B:B,$C$21)</f>
        <v>0</v>
      </c>
      <c r="D71" s="22">
        <f>SUMIFS('1. Staff costs'!S:S,'1. Staff costs'!C:C,B71,'1. Staff costs'!B:B,$D$21)+SUMIFS(' 2-3-6. Travel&amp;Costs of Stay'!O:O,' 2-3-6. Travel&amp;Costs of Stay'!C:C,B71,' 2-3-6. Travel&amp;Costs of Stay'!B:B,$D$21)+SUMIFS(' 2-3-6. Travel&amp;Costs of Stay'!P:P,' 2-3-6. Travel&amp;Costs of Stay'!C:C,B71,' 2-3-6. Travel&amp;Costs of Stay'!B:B,$D$21)+SUMIFS('4. Equipment Costs'!H:H,'4. Equipment Costs'!C:C,B71,'4. Equipment Costs'!B:B,$D$21)+SUMIFS('5. Subcontracting Costs'!H:H,'5. Subcontracting Costs'!C:C,B71,'5. Subcontracting Costs'!B:B,$D$21)+SUMIFS(' 2-3-6. Travel&amp;Costs of Stay'!N:N,' 2-3-6. Travel&amp;Costs of Stay'!C:C,B71,' 2-3-6. Travel&amp;Costs of Stay'!B:B,$D$21)</f>
        <v>0</v>
      </c>
      <c r="E71" s="22">
        <f>SUMIFS('1. Staff costs'!S:S,'1. Staff costs'!C:C,B71,'1. Staff costs'!B:B,$E$21)+SUMIFS(' 2-3-6. Travel&amp;Costs of Stay'!O:O,' 2-3-6. Travel&amp;Costs of Stay'!C:C,B71,' 2-3-6. Travel&amp;Costs of Stay'!B:B,$E$21)+SUMIFS(' 2-3-6. Travel&amp;Costs of Stay'!P:P,' 2-3-6. Travel&amp;Costs of Stay'!C:C,B71,' 2-3-6. Travel&amp;Costs of Stay'!B:B,$E$21)+SUMIFS('4. Equipment Costs'!H:H,'4. Equipment Costs'!C:C,B71,'4. Equipment Costs'!B:B,$E$21)+SUMIFS('5. Subcontracting Costs'!H:H,'5. Subcontracting Costs'!C:C,B71,'5. Subcontracting Costs'!B:B,$E$21)+SUMIFS(' 2-3-6. Travel&amp;Costs of Stay'!N:N,' 2-3-6. Travel&amp;Costs of Stay'!C:C,B71,' 2-3-6. Travel&amp;Costs of Stay'!B:B,$E$21)</f>
        <v>0</v>
      </c>
      <c r="F71" s="22">
        <f>SUMIFS('1. Staff costs'!S:S,'1. Staff costs'!C:C,B71,'1. Staff costs'!B:B,$F$21)+SUMIFS(' 2-3-6. Travel&amp;Costs of Stay'!O:O,' 2-3-6. Travel&amp;Costs of Stay'!C:C,B71,' 2-3-6. Travel&amp;Costs of Stay'!B:B,$F$21)+SUMIFS(' 2-3-6. Travel&amp;Costs of Stay'!P:P,' 2-3-6. Travel&amp;Costs of Stay'!C:C,B71,' 2-3-6. Travel&amp;Costs of Stay'!B:B,$F$21)+SUMIFS('4. Equipment Costs'!H:H,'4. Equipment Costs'!C:C,B71,'4. Equipment Costs'!B:B,$F$21)+SUMIFS('5. Subcontracting Costs'!H:H,'5. Subcontracting Costs'!C:C,B71,'5. Subcontracting Costs'!B:B,$F$21)+SUMIFS(' 2-3-6. Travel&amp;Costs of Stay'!N:N,' 2-3-6. Travel&amp;Costs of Stay'!C:C,B71,' 2-3-6. Travel&amp;Costs of Stay'!B:B,$F$21)</f>
        <v>0</v>
      </c>
      <c r="G71" s="22">
        <f>SUMIFS('1. Staff costs'!S:S,'1. Staff costs'!C:C,B71,'1. Staff costs'!B:B,$G$21)+SUMIFS(' 2-3-6. Travel&amp;Costs of Stay'!O:O,' 2-3-6. Travel&amp;Costs of Stay'!C:C,B71,' 2-3-6. Travel&amp;Costs of Stay'!B:B,$G$21)+SUMIFS(' 2-3-6. Travel&amp;Costs of Stay'!P:P,' 2-3-6. Travel&amp;Costs of Stay'!C:C,B71,' 2-3-6. Travel&amp;Costs of Stay'!B:B,$G$21)+SUMIFS('4. Equipment Costs'!H:H,'4. Equipment Costs'!C:C,B71,'4. Equipment Costs'!B:B,$G$21)+SUMIFS('5. Subcontracting Costs'!H:H,'5. Subcontracting Costs'!C:C,B71,'5. Subcontracting Costs'!B:B,$G$21)+SUMIFS(' 2-3-6. Travel&amp;Costs of Stay'!N:N,' 2-3-6. Travel&amp;Costs of Stay'!C:C,B71,' 2-3-6. Travel&amp;Costs of Stay'!B:B,$G$21)</f>
        <v>0</v>
      </c>
      <c r="H71" s="233">
        <f t="shared" si="4"/>
        <v>0</v>
      </c>
      <c r="I71" s="234"/>
    </row>
    <row r="72" spans="2:9" x14ac:dyDescent="0.35">
      <c r="B72" s="48" t="s">
        <v>99</v>
      </c>
      <c r="C72" s="22">
        <f>SUMIFS('1. Staff costs'!S:S,'1. Staff costs'!C:C,B72,'1. Staff costs'!B:B,$C$21)+SUMIFS(' 2-3-6. Travel&amp;Costs of Stay'!O:O,' 2-3-6. Travel&amp;Costs of Stay'!C:C,B72,' 2-3-6. Travel&amp;Costs of Stay'!B:B,$C$21)+SUMIFS(' 2-3-6. Travel&amp;Costs of Stay'!P:P,' 2-3-6. Travel&amp;Costs of Stay'!C:C,B72,' 2-3-6. Travel&amp;Costs of Stay'!B:B,$C$21)+SUMIFS('4. Equipment Costs'!H:H,'4. Equipment Costs'!C:C,B72,'4. Equipment Costs'!B:B,$C$21)+SUMIFS('5. Subcontracting Costs'!H:H,'5. Subcontracting Costs'!C:C,B72,'5. Subcontracting Costs'!B:B,$C$21)+SUMIFS(' 2-3-6. Travel&amp;Costs of Stay'!N:N,' 2-3-6. Travel&amp;Costs of Stay'!C:C,B72,' 2-3-6. Travel&amp;Costs of Stay'!B:B,$C$21)</f>
        <v>0</v>
      </c>
      <c r="D72" s="22">
        <f>SUMIFS('1. Staff costs'!S:S,'1. Staff costs'!C:C,B72,'1. Staff costs'!B:B,$D$21)+SUMIFS(' 2-3-6. Travel&amp;Costs of Stay'!O:O,' 2-3-6. Travel&amp;Costs of Stay'!C:C,B72,' 2-3-6. Travel&amp;Costs of Stay'!B:B,$D$21)+SUMIFS(' 2-3-6. Travel&amp;Costs of Stay'!P:P,' 2-3-6. Travel&amp;Costs of Stay'!C:C,B72,' 2-3-6. Travel&amp;Costs of Stay'!B:B,$D$21)+SUMIFS('4. Equipment Costs'!H:H,'4. Equipment Costs'!C:C,B72,'4. Equipment Costs'!B:B,$D$21)+SUMIFS('5. Subcontracting Costs'!H:H,'5. Subcontracting Costs'!C:C,B72,'5. Subcontracting Costs'!B:B,$D$21)+SUMIFS(' 2-3-6. Travel&amp;Costs of Stay'!N:N,' 2-3-6. Travel&amp;Costs of Stay'!C:C,B72,' 2-3-6. Travel&amp;Costs of Stay'!B:B,$D$21)</f>
        <v>0</v>
      </c>
      <c r="E72" s="22">
        <f>SUMIFS('1. Staff costs'!S:S,'1. Staff costs'!C:C,B72,'1. Staff costs'!B:B,$E$21)+SUMIFS(' 2-3-6. Travel&amp;Costs of Stay'!O:O,' 2-3-6. Travel&amp;Costs of Stay'!C:C,B72,' 2-3-6. Travel&amp;Costs of Stay'!B:B,$E$21)+SUMIFS(' 2-3-6. Travel&amp;Costs of Stay'!P:P,' 2-3-6. Travel&amp;Costs of Stay'!C:C,B72,' 2-3-6. Travel&amp;Costs of Stay'!B:B,$E$21)+SUMIFS('4. Equipment Costs'!H:H,'4. Equipment Costs'!C:C,B72,'4. Equipment Costs'!B:B,$E$21)+SUMIFS('5. Subcontracting Costs'!H:H,'5. Subcontracting Costs'!C:C,B72,'5. Subcontracting Costs'!B:B,$E$21)+SUMIFS(' 2-3-6. Travel&amp;Costs of Stay'!N:N,' 2-3-6. Travel&amp;Costs of Stay'!C:C,B72,' 2-3-6. Travel&amp;Costs of Stay'!B:B,$E$21)</f>
        <v>0</v>
      </c>
      <c r="F72" s="22">
        <f>SUMIFS('1. Staff costs'!S:S,'1. Staff costs'!C:C,B72,'1. Staff costs'!B:B,$F$21)+SUMIFS(' 2-3-6. Travel&amp;Costs of Stay'!O:O,' 2-3-6. Travel&amp;Costs of Stay'!C:C,B72,' 2-3-6. Travel&amp;Costs of Stay'!B:B,$F$21)+SUMIFS(' 2-3-6. Travel&amp;Costs of Stay'!P:P,' 2-3-6. Travel&amp;Costs of Stay'!C:C,B72,' 2-3-6. Travel&amp;Costs of Stay'!B:B,$F$21)+SUMIFS('4. Equipment Costs'!H:H,'4. Equipment Costs'!C:C,B72,'4. Equipment Costs'!B:B,$F$21)+SUMIFS('5. Subcontracting Costs'!H:H,'5. Subcontracting Costs'!C:C,B72,'5. Subcontracting Costs'!B:B,$F$21)+SUMIFS(' 2-3-6. Travel&amp;Costs of Stay'!N:N,' 2-3-6. Travel&amp;Costs of Stay'!C:C,B72,' 2-3-6. Travel&amp;Costs of Stay'!B:B,$F$21)</f>
        <v>0</v>
      </c>
      <c r="G72" s="22">
        <f>SUMIFS('1. Staff costs'!S:S,'1. Staff costs'!C:C,B72,'1. Staff costs'!B:B,$G$21)+SUMIFS(' 2-3-6. Travel&amp;Costs of Stay'!O:O,' 2-3-6. Travel&amp;Costs of Stay'!C:C,B72,' 2-3-6. Travel&amp;Costs of Stay'!B:B,$G$21)+SUMIFS(' 2-3-6. Travel&amp;Costs of Stay'!P:P,' 2-3-6. Travel&amp;Costs of Stay'!C:C,B72,' 2-3-6. Travel&amp;Costs of Stay'!B:B,$G$21)+SUMIFS('4. Equipment Costs'!H:H,'4. Equipment Costs'!C:C,B72,'4. Equipment Costs'!B:B,$G$21)+SUMIFS('5. Subcontracting Costs'!H:H,'5. Subcontracting Costs'!C:C,B72,'5. Subcontracting Costs'!B:B,$G$21)+SUMIFS(' 2-3-6. Travel&amp;Costs of Stay'!N:N,' 2-3-6. Travel&amp;Costs of Stay'!C:C,B72,' 2-3-6. Travel&amp;Costs of Stay'!B:B,$G$21)</f>
        <v>0</v>
      </c>
      <c r="H72" s="233">
        <f t="shared" si="4"/>
        <v>0</v>
      </c>
      <c r="I72" s="234"/>
    </row>
    <row r="73" spans="2:9" x14ac:dyDescent="0.35">
      <c r="B73" s="48" t="s">
        <v>100</v>
      </c>
      <c r="C73" s="22">
        <f>SUMIFS('1. Staff costs'!S:S,'1. Staff costs'!C:C,B73,'1. Staff costs'!B:B,$C$21)+SUMIFS(' 2-3-6. Travel&amp;Costs of Stay'!O:O,' 2-3-6. Travel&amp;Costs of Stay'!C:C,B73,' 2-3-6. Travel&amp;Costs of Stay'!B:B,$C$21)+SUMIFS(' 2-3-6. Travel&amp;Costs of Stay'!P:P,' 2-3-6. Travel&amp;Costs of Stay'!C:C,B73,' 2-3-6. Travel&amp;Costs of Stay'!B:B,$C$21)+SUMIFS('4. Equipment Costs'!H:H,'4. Equipment Costs'!C:C,B73,'4. Equipment Costs'!B:B,$C$21)+SUMIFS('5. Subcontracting Costs'!H:H,'5. Subcontracting Costs'!C:C,B73,'5. Subcontracting Costs'!B:B,$C$21)+SUMIFS(' 2-3-6. Travel&amp;Costs of Stay'!N:N,' 2-3-6. Travel&amp;Costs of Stay'!C:C,B73,' 2-3-6. Travel&amp;Costs of Stay'!B:B,$C$21)</f>
        <v>0</v>
      </c>
      <c r="D73" s="22">
        <f>SUMIFS('1. Staff costs'!S:S,'1. Staff costs'!C:C,B73,'1. Staff costs'!B:B,$D$21)+SUMIFS(' 2-3-6. Travel&amp;Costs of Stay'!O:O,' 2-3-6. Travel&amp;Costs of Stay'!C:C,B73,' 2-3-6. Travel&amp;Costs of Stay'!B:B,$D$21)+SUMIFS(' 2-3-6. Travel&amp;Costs of Stay'!P:P,' 2-3-6. Travel&amp;Costs of Stay'!C:C,B73,' 2-3-6. Travel&amp;Costs of Stay'!B:B,$D$21)+SUMIFS('4. Equipment Costs'!H:H,'4. Equipment Costs'!C:C,B73,'4. Equipment Costs'!B:B,$D$21)+SUMIFS('5. Subcontracting Costs'!H:H,'5. Subcontracting Costs'!C:C,B73,'5. Subcontracting Costs'!B:B,$D$21)+SUMIFS(' 2-3-6. Travel&amp;Costs of Stay'!N:N,' 2-3-6. Travel&amp;Costs of Stay'!C:C,B73,' 2-3-6. Travel&amp;Costs of Stay'!B:B,$D$21)</f>
        <v>0</v>
      </c>
      <c r="E73" s="22">
        <f>SUMIFS('1. Staff costs'!S:S,'1. Staff costs'!C:C,B73,'1. Staff costs'!B:B,$E$21)+SUMIFS(' 2-3-6. Travel&amp;Costs of Stay'!O:O,' 2-3-6. Travel&amp;Costs of Stay'!C:C,B73,' 2-3-6. Travel&amp;Costs of Stay'!B:B,$E$21)+SUMIFS(' 2-3-6. Travel&amp;Costs of Stay'!P:P,' 2-3-6. Travel&amp;Costs of Stay'!C:C,B73,' 2-3-6. Travel&amp;Costs of Stay'!B:B,$E$21)+SUMIFS('4. Equipment Costs'!H:H,'4. Equipment Costs'!C:C,B73,'4. Equipment Costs'!B:B,$E$21)+SUMIFS('5. Subcontracting Costs'!H:H,'5. Subcontracting Costs'!C:C,B73,'5. Subcontracting Costs'!B:B,$E$21)+SUMIFS(' 2-3-6. Travel&amp;Costs of Stay'!N:N,' 2-3-6. Travel&amp;Costs of Stay'!C:C,B73,' 2-3-6. Travel&amp;Costs of Stay'!B:B,$E$21)</f>
        <v>0</v>
      </c>
      <c r="F73" s="22">
        <f>SUMIFS('1. Staff costs'!S:S,'1. Staff costs'!C:C,B73,'1. Staff costs'!B:B,$F$21)+SUMIFS(' 2-3-6. Travel&amp;Costs of Stay'!O:O,' 2-3-6. Travel&amp;Costs of Stay'!C:C,B73,' 2-3-6. Travel&amp;Costs of Stay'!B:B,$F$21)+SUMIFS(' 2-3-6. Travel&amp;Costs of Stay'!P:P,' 2-3-6. Travel&amp;Costs of Stay'!C:C,B73,' 2-3-6. Travel&amp;Costs of Stay'!B:B,$F$21)+SUMIFS('4. Equipment Costs'!H:H,'4. Equipment Costs'!C:C,B73,'4. Equipment Costs'!B:B,$F$21)+SUMIFS('5. Subcontracting Costs'!H:H,'5. Subcontracting Costs'!C:C,B73,'5. Subcontracting Costs'!B:B,$F$21)+SUMIFS(' 2-3-6. Travel&amp;Costs of Stay'!N:N,' 2-3-6. Travel&amp;Costs of Stay'!C:C,B73,' 2-3-6. Travel&amp;Costs of Stay'!B:B,$F$21)</f>
        <v>0</v>
      </c>
      <c r="G73" s="22">
        <f>SUMIFS('1. Staff costs'!S:S,'1. Staff costs'!C:C,B73,'1. Staff costs'!B:B,$G$21)+SUMIFS(' 2-3-6. Travel&amp;Costs of Stay'!O:O,' 2-3-6. Travel&amp;Costs of Stay'!C:C,B73,' 2-3-6. Travel&amp;Costs of Stay'!B:B,$G$21)+SUMIFS(' 2-3-6. Travel&amp;Costs of Stay'!P:P,' 2-3-6. Travel&amp;Costs of Stay'!C:C,B73,' 2-3-6. Travel&amp;Costs of Stay'!B:B,$G$21)+SUMIFS('4. Equipment Costs'!H:H,'4. Equipment Costs'!C:C,B73,'4. Equipment Costs'!B:B,$G$21)+SUMIFS('5. Subcontracting Costs'!H:H,'5. Subcontracting Costs'!C:C,B73,'5. Subcontracting Costs'!B:B,$G$21)+SUMIFS(' 2-3-6. Travel&amp;Costs of Stay'!N:N,' 2-3-6. Travel&amp;Costs of Stay'!C:C,B73,' 2-3-6. Travel&amp;Costs of Stay'!B:B,$G$21)</f>
        <v>0</v>
      </c>
      <c r="H73" s="233">
        <f t="shared" si="4"/>
        <v>0</v>
      </c>
      <c r="I73" s="234"/>
    </row>
    <row r="74" spans="2:9" x14ac:dyDescent="0.35">
      <c r="B74" s="48" t="s">
        <v>101</v>
      </c>
      <c r="C74" s="22">
        <f>SUMIFS('1. Staff costs'!S:S,'1. Staff costs'!C:C,B74,'1. Staff costs'!B:B,$C$21)+SUMIFS(' 2-3-6. Travel&amp;Costs of Stay'!O:O,' 2-3-6. Travel&amp;Costs of Stay'!C:C,B74,' 2-3-6. Travel&amp;Costs of Stay'!B:B,$C$21)+SUMIFS(' 2-3-6. Travel&amp;Costs of Stay'!P:P,' 2-3-6. Travel&amp;Costs of Stay'!C:C,B74,' 2-3-6. Travel&amp;Costs of Stay'!B:B,$C$21)+SUMIFS('4. Equipment Costs'!H:H,'4. Equipment Costs'!C:C,B74,'4. Equipment Costs'!B:B,$C$21)+SUMIFS('5. Subcontracting Costs'!H:H,'5. Subcontracting Costs'!C:C,B74,'5. Subcontracting Costs'!B:B,$C$21)+SUMIFS(' 2-3-6. Travel&amp;Costs of Stay'!N:N,' 2-3-6. Travel&amp;Costs of Stay'!C:C,B74,' 2-3-6. Travel&amp;Costs of Stay'!B:B,$C$21)</f>
        <v>0</v>
      </c>
      <c r="D74" s="22">
        <f>SUMIFS('1. Staff costs'!S:S,'1. Staff costs'!C:C,B74,'1. Staff costs'!B:B,$D$21)+SUMIFS(' 2-3-6. Travel&amp;Costs of Stay'!O:O,' 2-3-6. Travel&amp;Costs of Stay'!C:C,B74,' 2-3-6. Travel&amp;Costs of Stay'!B:B,$D$21)+SUMIFS(' 2-3-6. Travel&amp;Costs of Stay'!P:P,' 2-3-6. Travel&amp;Costs of Stay'!C:C,B74,' 2-3-6. Travel&amp;Costs of Stay'!B:B,$D$21)+SUMIFS('4. Equipment Costs'!H:H,'4. Equipment Costs'!C:C,B74,'4. Equipment Costs'!B:B,$D$21)+SUMIFS('5. Subcontracting Costs'!H:H,'5. Subcontracting Costs'!C:C,B74,'5. Subcontracting Costs'!B:B,$D$21)+SUMIFS(' 2-3-6. Travel&amp;Costs of Stay'!N:N,' 2-3-6. Travel&amp;Costs of Stay'!C:C,B74,' 2-3-6. Travel&amp;Costs of Stay'!B:B,$D$21)</f>
        <v>0</v>
      </c>
      <c r="E74" s="22">
        <f>SUMIFS('1. Staff costs'!S:S,'1. Staff costs'!C:C,B74,'1. Staff costs'!B:B,$E$21)+SUMIFS(' 2-3-6. Travel&amp;Costs of Stay'!O:O,' 2-3-6. Travel&amp;Costs of Stay'!C:C,B74,' 2-3-6. Travel&amp;Costs of Stay'!B:B,$E$21)+SUMIFS(' 2-3-6. Travel&amp;Costs of Stay'!P:P,' 2-3-6. Travel&amp;Costs of Stay'!C:C,B74,' 2-3-6. Travel&amp;Costs of Stay'!B:B,$E$21)+SUMIFS('4. Equipment Costs'!H:H,'4. Equipment Costs'!C:C,B74,'4. Equipment Costs'!B:B,$E$21)+SUMIFS('5. Subcontracting Costs'!H:H,'5. Subcontracting Costs'!C:C,B74,'5. Subcontracting Costs'!B:B,$E$21)+SUMIFS(' 2-3-6. Travel&amp;Costs of Stay'!N:N,' 2-3-6. Travel&amp;Costs of Stay'!C:C,B74,' 2-3-6. Travel&amp;Costs of Stay'!B:B,$E$21)</f>
        <v>0</v>
      </c>
      <c r="F74" s="22">
        <f>SUMIFS('1. Staff costs'!S:S,'1. Staff costs'!C:C,B74,'1. Staff costs'!B:B,$F$21)+SUMIFS(' 2-3-6. Travel&amp;Costs of Stay'!O:O,' 2-3-6. Travel&amp;Costs of Stay'!C:C,B74,' 2-3-6. Travel&amp;Costs of Stay'!B:B,$F$21)+SUMIFS(' 2-3-6. Travel&amp;Costs of Stay'!P:P,' 2-3-6. Travel&amp;Costs of Stay'!C:C,B74,' 2-3-6. Travel&amp;Costs of Stay'!B:B,$F$21)+SUMIFS('4. Equipment Costs'!H:H,'4. Equipment Costs'!C:C,B74,'4. Equipment Costs'!B:B,$F$21)+SUMIFS('5. Subcontracting Costs'!H:H,'5. Subcontracting Costs'!C:C,B74,'5. Subcontracting Costs'!B:B,$F$21)+SUMIFS(' 2-3-6. Travel&amp;Costs of Stay'!N:N,' 2-3-6. Travel&amp;Costs of Stay'!C:C,B74,' 2-3-6. Travel&amp;Costs of Stay'!B:B,$F$21)</f>
        <v>0</v>
      </c>
      <c r="G74" s="22">
        <f>SUMIFS('1. Staff costs'!S:S,'1. Staff costs'!C:C,B74,'1. Staff costs'!B:B,$G$21)+SUMIFS(' 2-3-6. Travel&amp;Costs of Stay'!O:O,' 2-3-6. Travel&amp;Costs of Stay'!C:C,B74,' 2-3-6. Travel&amp;Costs of Stay'!B:B,$G$21)+SUMIFS(' 2-3-6. Travel&amp;Costs of Stay'!P:P,' 2-3-6. Travel&amp;Costs of Stay'!C:C,B74,' 2-3-6. Travel&amp;Costs of Stay'!B:B,$G$21)+SUMIFS('4. Equipment Costs'!H:H,'4. Equipment Costs'!C:C,B74,'4. Equipment Costs'!B:B,$G$21)+SUMIFS('5. Subcontracting Costs'!H:H,'5. Subcontracting Costs'!C:C,B74,'5. Subcontracting Costs'!B:B,$G$21)+SUMIFS(' 2-3-6. Travel&amp;Costs of Stay'!N:N,' 2-3-6. Travel&amp;Costs of Stay'!C:C,B74,' 2-3-6. Travel&amp;Costs of Stay'!B:B,$G$21)</f>
        <v>0</v>
      </c>
      <c r="H74" s="233">
        <f t="shared" si="4"/>
        <v>0</v>
      </c>
      <c r="I74" s="234"/>
    </row>
    <row r="75" spans="2:9" x14ac:dyDescent="0.35">
      <c r="B75" s="48" t="s">
        <v>102</v>
      </c>
      <c r="C75" s="22">
        <f>SUMIFS('1. Staff costs'!S:S,'1. Staff costs'!C:C,B75,'1. Staff costs'!B:B,$C$21)+SUMIFS(' 2-3-6. Travel&amp;Costs of Stay'!O:O,' 2-3-6. Travel&amp;Costs of Stay'!C:C,B75,' 2-3-6. Travel&amp;Costs of Stay'!B:B,$C$21)+SUMIFS(' 2-3-6. Travel&amp;Costs of Stay'!P:P,' 2-3-6. Travel&amp;Costs of Stay'!C:C,B75,' 2-3-6. Travel&amp;Costs of Stay'!B:B,$C$21)+SUMIFS('4. Equipment Costs'!H:H,'4. Equipment Costs'!C:C,B75,'4. Equipment Costs'!B:B,$C$21)+SUMIFS('5. Subcontracting Costs'!H:H,'5. Subcontracting Costs'!C:C,B75,'5. Subcontracting Costs'!B:B,$C$21)+SUMIFS(' 2-3-6. Travel&amp;Costs of Stay'!N:N,' 2-3-6. Travel&amp;Costs of Stay'!C:C,B75,' 2-3-6. Travel&amp;Costs of Stay'!B:B,$C$21)</f>
        <v>0</v>
      </c>
      <c r="D75" s="22">
        <f>SUMIFS('1. Staff costs'!S:S,'1. Staff costs'!C:C,B75,'1. Staff costs'!B:B,$D$21)+SUMIFS(' 2-3-6. Travel&amp;Costs of Stay'!O:O,' 2-3-6. Travel&amp;Costs of Stay'!C:C,B75,' 2-3-6. Travel&amp;Costs of Stay'!B:B,$D$21)+SUMIFS(' 2-3-6. Travel&amp;Costs of Stay'!P:P,' 2-3-6. Travel&amp;Costs of Stay'!C:C,B75,' 2-3-6. Travel&amp;Costs of Stay'!B:B,$D$21)+SUMIFS('4. Equipment Costs'!H:H,'4. Equipment Costs'!C:C,B75,'4. Equipment Costs'!B:B,$D$21)+SUMIFS('5. Subcontracting Costs'!H:H,'5. Subcontracting Costs'!C:C,B75,'5. Subcontracting Costs'!B:B,$D$21)+SUMIFS(' 2-3-6. Travel&amp;Costs of Stay'!N:N,' 2-3-6. Travel&amp;Costs of Stay'!C:C,B75,' 2-3-6. Travel&amp;Costs of Stay'!B:B,$D$21)</f>
        <v>0</v>
      </c>
      <c r="E75" s="22">
        <f>SUMIFS('1. Staff costs'!S:S,'1. Staff costs'!C:C,B75,'1. Staff costs'!B:B,$E$21)+SUMIFS(' 2-3-6. Travel&amp;Costs of Stay'!O:O,' 2-3-6. Travel&amp;Costs of Stay'!C:C,B75,' 2-3-6. Travel&amp;Costs of Stay'!B:B,$E$21)+SUMIFS(' 2-3-6. Travel&amp;Costs of Stay'!P:P,' 2-3-6. Travel&amp;Costs of Stay'!C:C,B75,' 2-3-6. Travel&amp;Costs of Stay'!B:B,$E$21)+SUMIFS('4. Equipment Costs'!H:H,'4. Equipment Costs'!C:C,B75,'4. Equipment Costs'!B:B,$E$21)+SUMIFS('5. Subcontracting Costs'!H:H,'5. Subcontracting Costs'!C:C,B75,'5. Subcontracting Costs'!B:B,$E$21)+SUMIFS(' 2-3-6. Travel&amp;Costs of Stay'!N:N,' 2-3-6. Travel&amp;Costs of Stay'!C:C,B75,' 2-3-6. Travel&amp;Costs of Stay'!B:B,$E$21)</f>
        <v>0</v>
      </c>
      <c r="F75" s="22">
        <f>SUMIFS('1. Staff costs'!S:S,'1. Staff costs'!C:C,B75,'1. Staff costs'!B:B,$F$21)+SUMIFS(' 2-3-6. Travel&amp;Costs of Stay'!O:O,' 2-3-6. Travel&amp;Costs of Stay'!C:C,B75,' 2-3-6. Travel&amp;Costs of Stay'!B:B,$F$21)+SUMIFS(' 2-3-6. Travel&amp;Costs of Stay'!P:P,' 2-3-6. Travel&amp;Costs of Stay'!C:C,B75,' 2-3-6. Travel&amp;Costs of Stay'!B:B,$F$21)+SUMIFS('4. Equipment Costs'!H:H,'4. Equipment Costs'!C:C,B75,'4. Equipment Costs'!B:B,$F$21)+SUMIFS('5. Subcontracting Costs'!H:H,'5. Subcontracting Costs'!C:C,B75,'5. Subcontracting Costs'!B:B,$F$21)+SUMIFS(' 2-3-6. Travel&amp;Costs of Stay'!N:N,' 2-3-6. Travel&amp;Costs of Stay'!C:C,B75,' 2-3-6. Travel&amp;Costs of Stay'!B:B,$F$21)</f>
        <v>0</v>
      </c>
      <c r="G75" s="22">
        <f>SUMIFS('1. Staff costs'!S:S,'1. Staff costs'!C:C,B75,'1. Staff costs'!B:B,$G$21)+SUMIFS(' 2-3-6. Travel&amp;Costs of Stay'!O:O,' 2-3-6. Travel&amp;Costs of Stay'!C:C,B75,' 2-3-6. Travel&amp;Costs of Stay'!B:B,$G$21)+SUMIFS(' 2-3-6. Travel&amp;Costs of Stay'!P:P,' 2-3-6. Travel&amp;Costs of Stay'!C:C,B75,' 2-3-6. Travel&amp;Costs of Stay'!B:B,$G$21)+SUMIFS('4. Equipment Costs'!H:H,'4. Equipment Costs'!C:C,B75,'4. Equipment Costs'!B:B,$G$21)+SUMIFS('5. Subcontracting Costs'!H:H,'5. Subcontracting Costs'!C:C,B75,'5. Subcontracting Costs'!B:B,$G$21)+SUMIFS(' 2-3-6. Travel&amp;Costs of Stay'!N:N,' 2-3-6. Travel&amp;Costs of Stay'!C:C,B75,' 2-3-6. Travel&amp;Costs of Stay'!B:B,$G$21)</f>
        <v>0</v>
      </c>
      <c r="H75" s="233">
        <f t="shared" si="4"/>
        <v>0</v>
      </c>
      <c r="I75" s="234"/>
    </row>
    <row r="76" spans="2:9" x14ac:dyDescent="0.35">
      <c r="B76" s="48" t="s">
        <v>103</v>
      </c>
      <c r="C76" s="22">
        <f>SUMIFS('1. Staff costs'!S:S,'1. Staff costs'!C:C,B76,'1. Staff costs'!B:B,$C$21)+SUMIFS(' 2-3-6. Travel&amp;Costs of Stay'!O:O,' 2-3-6. Travel&amp;Costs of Stay'!C:C,B76,' 2-3-6. Travel&amp;Costs of Stay'!B:B,$C$21)+SUMIFS(' 2-3-6. Travel&amp;Costs of Stay'!P:P,' 2-3-6. Travel&amp;Costs of Stay'!C:C,B76,' 2-3-6. Travel&amp;Costs of Stay'!B:B,$C$21)+SUMIFS('4. Equipment Costs'!H:H,'4. Equipment Costs'!C:C,B76,'4. Equipment Costs'!B:B,$C$21)+SUMIFS('5. Subcontracting Costs'!H:H,'5. Subcontracting Costs'!C:C,B76,'5. Subcontracting Costs'!B:B,$C$21)+SUMIFS(' 2-3-6. Travel&amp;Costs of Stay'!N:N,' 2-3-6. Travel&amp;Costs of Stay'!C:C,B76,' 2-3-6. Travel&amp;Costs of Stay'!B:B,$C$21)</f>
        <v>0</v>
      </c>
      <c r="D76" s="22">
        <f>SUMIFS('1. Staff costs'!S:S,'1. Staff costs'!C:C,B76,'1. Staff costs'!B:B,$D$21)+SUMIFS(' 2-3-6. Travel&amp;Costs of Stay'!O:O,' 2-3-6. Travel&amp;Costs of Stay'!C:C,B76,' 2-3-6. Travel&amp;Costs of Stay'!B:B,$D$21)+SUMIFS(' 2-3-6. Travel&amp;Costs of Stay'!P:P,' 2-3-6. Travel&amp;Costs of Stay'!C:C,B76,' 2-3-6. Travel&amp;Costs of Stay'!B:B,$D$21)+SUMIFS('4. Equipment Costs'!H:H,'4. Equipment Costs'!C:C,B76,'4. Equipment Costs'!B:B,$D$21)+SUMIFS('5. Subcontracting Costs'!H:H,'5. Subcontracting Costs'!C:C,B76,'5. Subcontracting Costs'!B:B,$D$21)+SUMIFS(' 2-3-6. Travel&amp;Costs of Stay'!N:N,' 2-3-6. Travel&amp;Costs of Stay'!C:C,B76,' 2-3-6. Travel&amp;Costs of Stay'!B:B,$D$21)</f>
        <v>0</v>
      </c>
      <c r="E76" s="22">
        <f>SUMIFS('1. Staff costs'!S:S,'1. Staff costs'!C:C,B76,'1. Staff costs'!B:B,$E$21)+SUMIFS(' 2-3-6. Travel&amp;Costs of Stay'!O:O,' 2-3-6. Travel&amp;Costs of Stay'!C:C,B76,' 2-3-6. Travel&amp;Costs of Stay'!B:B,$E$21)+SUMIFS(' 2-3-6. Travel&amp;Costs of Stay'!P:P,' 2-3-6. Travel&amp;Costs of Stay'!C:C,B76,' 2-3-6. Travel&amp;Costs of Stay'!B:B,$E$21)+SUMIFS('4. Equipment Costs'!H:H,'4. Equipment Costs'!C:C,B76,'4. Equipment Costs'!B:B,$E$21)+SUMIFS('5. Subcontracting Costs'!H:H,'5. Subcontracting Costs'!C:C,B76,'5. Subcontracting Costs'!B:B,$E$21)+SUMIFS(' 2-3-6. Travel&amp;Costs of Stay'!N:N,' 2-3-6. Travel&amp;Costs of Stay'!C:C,B76,' 2-3-6. Travel&amp;Costs of Stay'!B:B,$E$21)</f>
        <v>0</v>
      </c>
      <c r="F76" s="22">
        <f>SUMIFS('1. Staff costs'!S:S,'1. Staff costs'!C:C,B76,'1. Staff costs'!B:B,$F$21)+SUMIFS(' 2-3-6. Travel&amp;Costs of Stay'!O:O,' 2-3-6. Travel&amp;Costs of Stay'!C:C,B76,' 2-3-6. Travel&amp;Costs of Stay'!B:B,$F$21)+SUMIFS(' 2-3-6. Travel&amp;Costs of Stay'!P:P,' 2-3-6. Travel&amp;Costs of Stay'!C:C,B76,' 2-3-6. Travel&amp;Costs of Stay'!B:B,$F$21)+SUMIFS('4. Equipment Costs'!H:H,'4. Equipment Costs'!C:C,B76,'4. Equipment Costs'!B:B,$F$21)+SUMIFS('5. Subcontracting Costs'!H:H,'5. Subcontracting Costs'!C:C,B76,'5. Subcontracting Costs'!B:B,$F$21)+SUMIFS(' 2-3-6. Travel&amp;Costs of Stay'!N:N,' 2-3-6. Travel&amp;Costs of Stay'!C:C,B76,' 2-3-6. Travel&amp;Costs of Stay'!B:B,$F$21)</f>
        <v>0</v>
      </c>
      <c r="G76" s="22">
        <f>SUMIFS('1. Staff costs'!S:S,'1. Staff costs'!C:C,B76,'1. Staff costs'!B:B,$G$21)+SUMIFS(' 2-3-6. Travel&amp;Costs of Stay'!O:O,' 2-3-6. Travel&amp;Costs of Stay'!C:C,B76,' 2-3-6. Travel&amp;Costs of Stay'!B:B,$G$21)+SUMIFS(' 2-3-6. Travel&amp;Costs of Stay'!P:P,' 2-3-6. Travel&amp;Costs of Stay'!C:C,B76,' 2-3-6. Travel&amp;Costs of Stay'!B:B,$G$21)+SUMIFS('4. Equipment Costs'!H:H,'4. Equipment Costs'!C:C,B76,'4. Equipment Costs'!B:B,$G$21)+SUMIFS('5. Subcontracting Costs'!H:H,'5. Subcontracting Costs'!C:C,B76,'5. Subcontracting Costs'!B:B,$G$21)+SUMIFS(' 2-3-6. Travel&amp;Costs of Stay'!N:N,' 2-3-6. Travel&amp;Costs of Stay'!C:C,B76,' 2-3-6. Travel&amp;Costs of Stay'!B:B,$G$21)</f>
        <v>0</v>
      </c>
      <c r="H76" s="233">
        <f t="shared" si="4"/>
        <v>0</v>
      </c>
      <c r="I76" s="234"/>
    </row>
    <row r="77" spans="2:9" x14ac:dyDescent="0.35">
      <c r="B77" s="48" t="s">
        <v>161</v>
      </c>
      <c r="C77" s="23">
        <f>SUM(C22:C76)</f>
        <v>152621</v>
      </c>
      <c r="D77" s="23">
        <f t="shared" ref="D77:G77" si="5">SUM(D22:D76)</f>
        <v>368025</v>
      </c>
      <c r="E77" s="23">
        <f t="shared" si="5"/>
        <v>161165</v>
      </c>
      <c r="F77" s="23">
        <f t="shared" si="5"/>
        <v>46650</v>
      </c>
      <c r="G77" s="23">
        <f t="shared" si="5"/>
        <v>101185</v>
      </c>
      <c r="H77" s="233">
        <f>SUM(C77:G77)</f>
        <v>829646</v>
      </c>
      <c r="I77" s="234"/>
    </row>
  </sheetData>
  <sheetProtection sheet="1" selectLockedCells="1" selectUnlockedCells="1"/>
  <dataConsolidate/>
  <mergeCells count="66">
    <mergeCell ref="B20:I20"/>
    <mergeCell ref="B1:I1"/>
    <mergeCell ref="B18:I18"/>
    <mergeCell ref="B13:I13"/>
    <mergeCell ref="B12:I12"/>
    <mergeCell ref="B19:I19"/>
    <mergeCell ref="B11:I11"/>
    <mergeCell ref="B3:I3"/>
    <mergeCell ref="B2:I2"/>
    <mergeCell ref="H21:I21"/>
    <mergeCell ref="H22:I22"/>
    <mergeCell ref="H23:I23"/>
    <mergeCell ref="H24:I24"/>
    <mergeCell ref="H25:I25"/>
    <mergeCell ref="H26:I26"/>
    <mergeCell ref="H27:I27"/>
    <mergeCell ref="H28:I28"/>
    <mergeCell ref="H29:I29"/>
    <mergeCell ref="H30:I30"/>
    <mergeCell ref="H31:I31"/>
    <mergeCell ref="H32:I32"/>
    <mergeCell ref="H33:I33"/>
    <mergeCell ref="H34:I34"/>
    <mergeCell ref="H35:I35"/>
    <mergeCell ref="H36:I36"/>
    <mergeCell ref="H37:I37"/>
    <mergeCell ref="H38:I38"/>
    <mergeCell ref="H39:I39"/>
    <mergeCell ref="H40:I40"/>
    <mergeCell ref="H41:I41"/>
    <mergeCell ref="H42:I42"/>
    <mergeCell ref="H43:I43"/>
    <mergeCell ref="H44:I44"/>
    <mergeCell ref="H45:I45"/>
    <mergeCell ref="H46:I46"/>
    <mergeCell ref="H47:I47"/>
    <mergeCell ref="H48:I48"/>
    <mergeCell ref="H49:I49"/>
    <mergeCell ref="H50:I50"/>
    <mergeCell ref="H51:I51"/>
    <mergeCell ref="H52:I52"/>
    <mergeCell ref="H53:I53"/>
    <mergeCell ref="H54:I54"/>
    <mergeCell ref="H55:I55"/>
    <mergeCell ref="H56:I56"/>
    <mergeCell ref="H57:I57"/>
    <mergeCell ref="H58:I58"/>
    <mergeCell ref="H59:I59"/>
    <mergeCell ref="H60:I60"/>
    <mergeCell ref="H61:I61"/>
    <mergeCell ref="H62:I62"/>
    <mergeCell ref="H63:I63"/>
    <mergeCell ref="H64:I64"/>
    <mergeCell ref="H65:I65"/>
    <mergeCell ref="H66:I66"/>
    <mergeCell ref="H67:I67"/>
    <mergeCell ref="H68:I68"/>
    <mergeCell ref="H69:I69"/>
    <mergeCell ref="H70:I70"/>
    <mergeCell ref="H76:I76"/>
    <mergeCell ref="H77:I77"/>
    <mergeCell ref="H71:I71"/>
    <mergeCell ref="H72:I72"/>
    <mergeCell ref="H73:I73"/>
    <mergeCell ref="H74:I74"/>
    <mergeCell ref="H75:I75"/>
  </mergeCells>
  <conditionalFormatting sqref="B2">
    <cfRule type="cellIs" dxfId="15" priority="139" stopIfTrue="1" operator="equal">
      <formula>"&gt; 30 %"</formula>
    </cfRule>
  </conditionalFormatting>
  <conditionalFormatting sqref="C4:E4 D14:E14">
    <cfRule type="cellIs" dxfId="14" priority="52" stopIfTrue="1" operator="equal">
      <formula>"ERROR"</formula>
    </cfRule>
  </conditionalFormatting>
  <conditionalFormatting sqref="F4">
    <cfRule type="cellIs" dxfId="13" priority="50" stopIfTrue="1" operator="equal">
      <formula>"ERROR"</formula>
    </cfRule>
  </conditionalFormatting>
  <conditionalFormatting sqref="G4">
    <cfRule type="cellIs" dxfId="12" priority="49" stopIfTrue="1" operator="equal">
      <formula>"ERROR"</formula>
    </cfRule>
  </conditionalFormatting>
  <conditionalFormatting sqref="I4">
    <cfRule type="cellIs" dxfId="11" priority="48" stopIfTrue="1" operator="equal">
      <formula>"ERROR"</formula>
    </cfRule>
  </conditionalFormatting>
  <conditionalFormatting sqref="B12">
    <cfRule type="cellIs" dxfId="10" priority="33" stopIfTrue="1" operator="equal">
      <formula>"&gt; 30 %"</formula>
    </cfRule>
  </conditionalFormatting>
  <conditionalFormatting sqref="B10">
    <cfRule type="cellIs" dxfId="9" priority="29" stopIfTrue="1" operator="equal">
      <formula>"ERROR"</formula>
    </cfRule>
  </conditionalFormatting>
  <conditionalFormatting sqref="B17">
    <cfRule type="cellIs" dxfId="8" priority="28" stopIfTrue="1" operator="equal">
      <formula>"ERROR"</formula>
    </cfRule>
  </conditionalFormatting>
  <conditionalFormatting sqref="C14">
    <cfRule type="cellIs" dxfId="7" priority="19" stopIfTrue="1" operator="equal">
      <formula>"ERROR"</formula>
    </cfRule>
  </conditionalFormatting>
  <conditionalFormatting sqref="F14">
    <cfRule type="cellIs" dxfId="6" priority="17" stopIfTrue="1" operator="equal">
      <formula>"ERROR"</formula>
    </cfRule>
  </conditionalFormatting>
  <conditionalFormatting sqref="G14">
    <cfRule type="cellIs" dxfId="5" priority="16" stopIfTrue="1" operator="equal">
      <formula>"ERROR"</formula>
    </cfRule>
  </conditionalFormatting>
  <conditionalFormatting sqref="B19">
    <cfRule type="cellIs" dxfId="4" priority="14" stopIfTrue="1" operator="equal">
      <formula>"&gt; 30 %"</formula>
    </cfRule>
  </conditionalFormatting>
  <conditionalFormatting sqref="H21">
    <cfRule type="cellIs" dxfId="3" priority="11" stopIfTrue="1" operator="equal">
      <formula>"ERROR"</formula>
    </cfRule>
  </conditionalFormatting>
  <conditionalFormatting sqref="H4">
    <cfRule type="cellIs" dxfId="2" priority="3" stopIfTrue="1" operator="equal">
      <formula>"ERROR"</formula>
    </cfRule>
  </conditionalFormatting>
  <conditionalFormatting sqref="H14">
    <cfRule type="cellIs" dxfId="1" priority="2" stopIfTrue="1" operator="equal">
      <formula>"ERROR"</formula>
    </cfRule>
  </conditionalFormatting>
  <conditionalFormatting sqref="I14">
    <cfRule type="cellIs" dxfId="0" priority="1" stopIfTrue="1" operator="equal">
      <formula>"ERROR"</formula>
    </cfRule>
  </conditionalFormatting>
  <printOptions horizontalCentered="1"/>
  <pageMargins left="0.23622047244094491" right="0.23622047244094491" top="0.39370078740157483" bottom="0.94488188976377963" header="0.31496062992125984" footer="0.31496062992125984"/>
  <pageSetup paperSize="9" scale="50" orientation="portrait" r:id="rId1"/>
  <headerFooter>
    <oddFooter>&amp;CPage &amp;P of 3</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U186"/>
  <sheetViews>
    <sheetView showGridLines="0" topLeftCell="A150" zoomScale="70" zoomScaleNormal="70" zoomScaleSheetLayoutView="40" zoomScalePageLayoutView="70" workbookViewId="0">
      <selection activeCell="B1" sqref="B1"/>
    </sheetView>
  </sheetViews>
  <sheetFormatPr defaultRowHeight="13.8" x14ac:dyDescent="0.25"/>
  <cols>
    <col min="1" max="1" width="1.6640625" style="56" customWidth="1"/>
    <col min="2" max="2" width="40" style="56" customWidth="1"/>
    <col min="3" max="3" width="24" style="56" customWidth="1"/>
    <col min="4" max="7" width="15.88671875" style="56" customWidth="1"/>
    <col min="8" max="8" width="1.6640625" style="56" customWidth="1"/>
    <col min="9" max="10" width="26" style="56" customWidth="1"/>
    <col min="11" max="11" width="1.6640625" style="56" customWidth="1"/>
    <col min="12" max="12" width="18.6640625" style="75" customWidth="1"/>
    <col min="13" max="14" width="18.6640625" style="56" customWidth="1"/>
    <col min="15" max="15" width="1.6640625" style="56" customWidth="1"/>
    <col min="16" max="16" width="28.109375" style="56" bestFit="1" customWidth="1"/>
    <col min="17" max="17" width="20.6640625" style="56" customWidth="1"/>
    <col min="18" max="18" width="1.6640625" style="56" customWidth="1"/>
    <col min="19" max="20" width="25.44140625" style="56" customWidth="1"/>
    <col min="21" max="21" width="20.6640625" style="56" customWidth="1"/>
    <col min="22" max="247" width="9.109375" style="56"/>
    <col min="248" max="248" width="40" style="56" customWidth="1"/>
    <col min="249" max="249" width="11.5546875" style="56" customWidth="1"/>
    <col min="250" max="250" width="24" style="56" customWidth="1"/>
    <col min="251" max="254" width="15.88671875" style="56" customWidth="1"/>
    <col min="255" max="255" width="1.6640625" style="56" customWidth="1"/>
    <col min="256" max="257" width="26" style="56" customWidth="1"/>
    <col min="258" max="258" width="1.6640625" style="56" customWidth="1"/>
    <col min="259" max="261" width="18.6640625" style="56" customWidth="1"/>
    <col min="262" max="262" width="1.6640625" style="56" customWidth="1"/>
    <col min="263" max="263" width="25.44140625" style="56" customWidth="1"/>
    <col min="264" max="264" width="20.6640625" style="56" customWidth="1"/>
    <col min="265" max="265" width="1.6640625" style="56" customWidth="1"/>
    <col min="266" max="267" width="25.44140625" style="56" customWidth="1"/>
    <col min="268" max="268" width="20.6640625" style="56" customWidth="1"/>
    <col min="269" max="269" width="1.6640625" style="56" customWidth="1"/>
    <col min="270" max="270" width="41.5546875" style="56" customWidth="1"/>
    <col min="271" max="271" width="11.5546875" style="56" customWidth="1"/>
    <col min="272" max="272" width="23" style="56" customWidth="1"/>
    <col min="273" max="276" width="18.6640625" style="56" customWidth="1"/>
    <col min="277" max="277" width="1.6640625" style="56" customWidth="1"/>
    <col min="278" max="503" width="9.109375" style="56"/>
    <col min="504" max="504" width="40" style="56" customWidth="1"/>
    <col min="505" max="505" width="11.5546875" style="56" customWidth="1"/>
    <col min="506" max="506" width="24" style="56" customWidth="1"/>
    <col min="507" max="510" width="15.88671875" style="56" customWidth="1"/>
    <col min="511" max="511" width="1.6640625" style="56" customWidth="1"/>
    <col min="512" max="513" width="26" style="56" customWidth="1"/>
    <col min="514" max="514" width="1.6640625" style="56" customWidth="1"/>
    <col min="515" max="517" width="18.6640625" style="56" customWidth="1"/>
    <col min="518" max="518" width="1.6640625" style="56" customWidth="1"/>
    <col min="519" max="519" width="25.44140625" style="56" customWidth="1"/>
    <col min="520" max="520" width="20.6640625" style="56" customWidth="1"/>
    <col min="521" max="521" width="1.6640625" style="56" customWidth="1"/>
    <col min="522" max="523" width="25.44140625" style="56" customWidth="1"/>
    <col min="524" max="524" width="20.6640625" style="56" customWidth="1"/>
    <col min="525" max="525" width="1.6640625" style="56" customWidth="1"/>
    <col min="526" max="526" width="41.5546875" style="56" customWidth="1"/>
    <col min="527" max="527" width="11.5546875" style="56" customWidth="1"/>
    <col min="528" max="528" width="23" style="56" customWidth="1"/>
    <col min="529" max="532" width="18.6640625" style="56" customWidth="1"/>
    <col min="533" max="533" width="1.6640625" style="56" customWidth="1"/>
    <col min="534" max="759" width="9.109375" style="56"/>
    <col min="760" max="760" width="40" style="56" customWidth="1"/>
    <col min="761" max="761" width="11.5546875" style="56" customWidth="1"/>
    <col min="762" max="762" width="24" style="56" customWidth="1"/>
    <col min="763" max="766" width="15.88671875" style="56" customWidth="1"/>
    <col min="767" max="767" width="1.6640625" style="56" customWidth="1"/>
    <col min="768" max="769" width="26" style="56" customWidth="1"/>
    <col min="770" max="770" width="1.6640625" style="56" customWidth="1"/>
    <col min="771" max="773" width="18.6640625" style="56" customWidth="1"/>
    <col min="774" max="774" width="1.6640625" style="56" customWidth="1"/>
    <col min="775" max="775" width="25.44140625" style="56" customWidth="1"/>
    <col min="776" max="776" width="20.6640625" style="56" customWidth="1"/>
    <col min="777" max="777" width="1.6640625" style="56" customWidth="1"/>
    <col min="778" max="779" width="25.44140625" style="56" customWidth="1"/>
    <col min="780" max="780" width="20.6640625" style="56" customWidth="1"/>
    <col min="781" max="781" width="1.6640625" style="56" customWidth="1"/>
    <col min="782" max="782" width="41.5546875" style="56" customWidth="1"/>
    <col min="783" max="783" width="11.5546875" style="56" customWidth="1"/>
    <col min="784" max="784" width="23" style="56" customWidth="1"/>
    <col min="785" max="788" width="18.6640625" style="56" customWidth="1"/>
    <col min="789" max="789" width="1.6640625" style="56" customWidth="1"/>
    <col min="790" max="1015" width="9.109375" style="56"/>
    <col min="1016" max="1016" width="40" style="56" customWidth="1"/>
    <col min="1017" max="1017" width="11.5546875" style="56" customWidth="1"/>
    <col min="1018" max="1018" width="24" style="56" customWidth="1"/>
    <col min="1019" max="1022" width="15.88671875" style="56" customWidth="1"/>
    <col min="1023" max="1023" width="1.6640625" style="56" customWidth="1"/>
    <col min="1024" max="1025" width="26" style="56" customWidth="1"/>
    <col min="1026" max="1026" width="1.6640625" style="56" customWidth="1"/>
    <col min="1027" max="1029" width="18.6640625" style="56" customWidth="1"/>
    <col min="1030" max="1030" width="1.6640625" style="56" customWidth="1"/>
    <col min="1031" max="1031" width="25.44140625" style="56" customWidth="1"/>
    <col min="1032" max="1032" width="20.6640625" style="56" customWidth="1"/>
    <col min="1033" max="1033" width="1.6640625" style="56" customWidth="1"/>
    <col min="1034" max="1035" width="25.44140625" style="56" customWidth="1"/>
    <col min="1036" max="1036" width="20.6640625" style="56" customWidth="1"/>
    <col min="1037" max="1037" width="1.6640625" style="56" customWidth="1"/>
    <col min="1038" max="1038" width="41.5546875" style="56" customWidth="1"/>
    <col min="1039" max="1039" width="11.5546875" style="56" customWidth="1"/>
    <col min="1040" max="1040" width="23" style="56" customWidth="1"/>
    <col min="1041" max="1044" width="18.6640625" style="56" customWidth="1"/>
    <col min="1045" max="1045" width="1.6640625" style="56" customWidth="1"/>
    <col min="1046" max="1271" width="9.109375" style="56"/>
    <col min="1272" max="1272" width="40" style="56" customWidth="1"/>
    <col min="1273" max="1273" width="11.5546875" style="56" customWidth="1"/>
    <col min="1274" max="1274" width="24" style="56" customWidth="1"/>
    <col min="1275" max="1278" width="15.88671875" style="56" customWidth="1"/>
    <col min="1279" max="1279" width="1.6640625" style="56" customWidth="1"/>
    <col min="1280" max="1281" width="26" style="56" customWidth="1"/>
    <col min="1282" max="1282" width="1.6640625" style="56" customWidth="1"/>
    <col min="1283" max="1285" width="18.6640625" style="56" customWidth="1"/>
    <col min="1286" max="1286" width="1.6640625" style="56" customWidth="1"/>
    <col min="1287" max="1287" width="25.44140625" style="56" customWidth="1"/>
    <col min="1288" max="1288" width="20.6640625" style="56" customWidth="1"/>
    <col min="1289" max="1289" width="1.6640625" style="56" customWidth="1"/>
    <col min="1290" max="1291" width="25.44140625" style="56" customWidth="1"/>
    <col min="1292" max="1292" width="20.6640625" style="56" customWidth="1"/>
    <col min="1293" max="1293" width="1.6640625" style="56" customWidth="1"/>
    <col min="1294" max="1294" width="41.5546875" style="56" customWidth="1"/>
    <col min="1295" max="1295" width="11.5546875" style="56" customWidth="1"/>
    <col min="1296" max="1296" width="23" style="56" customWidth="1"/>
    <col min="1297" max="1300" width="18.6640625" style="56" customWidth="1"/>
    <col min="1301" max="1301" width="1.6640625" style="56" customWidth="1"/>
    <col min="1302" max="1527" width="9.109375" style="56"/>
    <col min="1528" max="1528" width="40" style="56" customWidth="1"/>
    <col min="1529" max="1529" width="11.5546875" style="56" customWidth="1"/>
    <col min="1530" max="1530" width="24" style="56" customWidth="1"/>
    <col min="1531" max="1534" width="15.88671875" style="56" customWidth="1"/>
    <col min="1535" max="1535" width="1.6640625" style="56" customWidth="1"/>
    <col min="1536" max="1537" width="26" style="56" customWidth="1"/>
    <col min="1538" max="1538" width="1.6640625" style="56" customWidth="1"/>
    <col min="1539" max="1541" width="18.6640625" style="56" customWidth="1"/>
    <col min="1542" max="1542" width="1.6640625" style="56" customWidth="1"/>
    <col min="1543" max="1543" width="25.44140625" style="56" customWidth="1"/>
    <col min="1544" max="1544" width="20.6640625" style="56" customWidth="1"/>
    <col min="1545" max="1545" width="1.6640625" style="56" customWidth="1"/>
    <col min="1546" max="1547" width="25.44140625" style="56" customWidth="1"/>
    <col min="1548" max="1548" width="20.6640625" style="56" customWidth="1"/>
    <col min="1549" max="1549" width="1.6640625" style="56" customWidth="1"/>
    <col min="1550" max="1550" width="41.5546875" style="56" customWidth="1"/>
    <col min="1551" max="1551" width="11.5546875" style="56" customWidth="1"/>
    <col min="1552" max="1552" width="23" style="56" customWidth="1"/>
    <col min="1553" max="1556" width="18.6640625" style="56" customWidth="1"/>
    <col min="1557" max="1557" width="1.6640625" style="56" customWidth="1"/>
    <col min="1558" max="1783" width="9.109375" style="56"/>
    <col min="1784" max="1784" width="40" style="56" customWidth="1"/>
    <col min="1785" max="1785" width="11.5546875" style="56" customWidth="1"/>
    <col min="1786" max="1786" width="24" style="56" customWidth="1"/>
    <col min="1787" max="1790" width="15.88671875" style="56" customWidth="1"/>
    <col min="1791" max="1791" width="1.6640625" style="56" customWidth="1"/>
    <col min="1792" max="1793" width="26" style="56" customWidth="1"/>
    <col min="1794" max="1794" width="1.6640625" style="56" customWidth="1"/>
    <col min="1795" max="1797" width="18.6640625" style="56" customWidth="1"/>
    <col min="1798" max="1798" width="1.6640625" style="56" customWidth="1"/>
    <col min="1799" max="1799" width="25.44140625" style="56" customWidth="1"/>
    <col min="1800" max="1800" width="20.6640625" style="56" customWidth="1"/>
    <col min="1801" max="1801" width="1.6640625" style="56" customWidth="1"/>
    <col min="1802" max="1803" width="25.44140625" style="56" customWidth="1"/>
    <col min="1804" max="1804" width="20.6640625" style="56" customWidth="1"/>
    <col min="1805" max="1805" width="1.6640625" style="56" customWidth="1"/>
    <col min="1806" max="1806" width="41.5546875" style="56" customWidth="1"/>
    <col min="1807" max="1807" width="11.5546875" style="56" customWidth="1"/>
    <col min="1808" max="1808" width="23" style="56" customWidth="1"/>
    <col min="1809" max="1812" width="18.6640625" style="56" customWidth="1"/>
    <col min="1813" max="1813" width="1.6640625" style="56" customWidth="1"/>
    <col min="1814" max="2039" width="9.109375" style="56"/>
    <col min="2040" max="2040" width="40" style="56" customWidth="1"/>
    <col min="2041" max="2041" width="11.5546875" style="56" customWidth="1"/>
    <col min="2042" max="2042" width="24" style="56" customWidth="1"/>
    <col min="2043" max="2046" width="15.88671875" style="56" customWidth="1"/>
    <col min="2047" max="2047" width="1.6640625" style="56" customWidth="1"/>
    <col min="2048" max="2049" width="26" style="56" customWidth="1"/>
    <col min="2050" max="2050" width="1.6640625" style="56" customWidth="1"/>
    <col min="2051" max="2053" width="18.6640625" style="56" customWidth="1"/>
    <col min="2054" max="2054" width="1.6640625" style="56" customWidth="1"/>
    <col min="2055" max="2055" width="25.44140625" style="56" customWidth="1"/>
    <col min="2056" max="2056" width="20.6640625" style="56" customWidth="1"/>
    <col min="2057" max="2057" width="1.6640625" style="56" customWidth="1"/>
    <col min="2058" max="2059" width="25.44140625" style="56" customWidth="1"/>
    <col min="2060" max="2060" width="20.6640625" style="56" customWidth="1"/>
    <col min="2061" max="2061" width="1.6640625" style="56" customWidth="1"/>
    <col min="2062" max="2062" width="41.5546875" style="56" customWidth="1"/>
    <col min="2063" max="2063" width="11.5546875" style="56" customWidth="1"/>
    <col min="2064" max="2064" width="23" style="56" customWidth="1"/>
    <col min="2065" max="2068" width="18.6640625" style="56" customWidth="1"/>
    <col min="2069" max="2069" width="1.6640625" style="56" customWidth="1"/>
    <col min="2070" max="2295" width="9.109375" style="56"/>
    <col min="2296" max="2296" width="40" style="56" customWidth="1"/>
    <col min="2297" max="2297" width="11.5546875" style="56" customWidth="1"/>
    <col min="2298" max="2298" width="24" style="56" customWidth="1"/>
    <col min="2299" max="2302" width="15.88671875" style="56" customWidth="1"/>
    <col min="2303" max="2303" width="1.6640625" style="56" customWidth="1"/>
    <col min="2304" max="2305" width="26" style="56" customWidth="1"/>
    <col min="2306" max="2306" width="1.6640625" style="56" customWidth="1"/>
    <col min="2307" max="2309" width="18.6640625" style="56" customWidth="1"/>
    <col min="2310" max="2310" width="1.6640625" style="56" customWidth="1"/>
    <col min="2311" max="2311" width="25.44140625" style="56" customWidth="1"/>
    <col min="2312" max="2312" width="20.6640625" style="56" customWidth="1"/>
    <col min="2313" max="2313" width="1.6640625" style="56" customWidth="1"/>
    <col min="2314" max="2315" width="25.44140625" style="56" customWidth="1"/>
    <col min="2316" max="2316" width="20.6640625" style="56" customWidth="1"/>
    <col min="2317" max="2317" width="1.6640625" style="56" customWidth="1"/>
    <col min="2318" max="2318" width="41.5546875" style="56" customWidth="1"/>
    <col min="2319" max="2319" width="11.5546875" style="56" customWidth="1"/>
    <col min="2320" max="2320" width="23" style="56" customWidth="1"/>
    <col min="2321" max="2324" width="18.6640625" style="56" customWidth="1"/>
    <col min="2325" max="2325" width="1.6640625" style="56" customWidth="1"/>
    <col min="2326" max="2551" width="9.109375" style="56"/>
    <col min="2552" max="2552" width="40" style="56" customWidth="1"/>
    <col min="2553" max="2553" width="11.5546875" style="56" customWidth="1"/>
    <col min="2554" max="2554" width="24" style="56" customWidth="1"/>
    <col min="2555" max="2558" width="15.88671875" style="56" customWidth="1"/>
    <col min="2559" max="2559" width="1.6640625" style="56" customWidth="1"/>
    <col min="2560" max="2561" width="26" style="56" customWidth="1"/>
    <col min="2562" max="2562" width="1.6640625" style="56" customWidth="1"/>
    <col min="2563" max="2565" width="18.6640625" style="56" customWidth="1"/>
    <col min="2566" max="2566" width="1.6640625" style="56" customWidth="1"/>
    <col min="2567" max="2567" width="25.44140625" style="56" customWidth="1"/>
    <col min="2568" max="2568" width="20.6640625" style="56" customWidth="1"/>
    <col min="2569" max="2569" width="1.6640625" style="56" customWidth="1"/>
    <col min="2570" max="2571" width="25.44140625" style="56" customWidth="1"/>
    <col min="2572" max="2572" width="20.6640625" style="56" customWidth="1"/>
    <col min="2573" max="2573" width="1.6640625" style="56" customWidth="1"/>
    <col min="2574" max="2574" width="41.5546875" style="56" customWidth="1"/>
    <col min="2575" max="2575" width="11.5546875" style="56" customWidth="1"/>
    <col min="2576" max="2576" width="23" style="56" customWidth="1"/>
    <col min="2577" max="2580" width="18.6640625" style="56" customWidth="1"/>
    <col min="2581" max="2581" width="1.6640625" style="56" customWidth="1"/>
    <col min="2582" max="2807" width="9.109375" style="56"/>
    <col min="2808" max="2808" width="40" style="56" customWidth="1"/>
    <col min="2809" max="2809" width="11.5546875" style="56" customWidth="1"/>
    <col min="2810" max="2810" width="24" style="56" customWidth="1"/>
    <col min="2811" max="2814" width="15.88671875" style="56" customWidth="1"/>
    <col min="2815" max="2815" width="1.6640625" style="56" customWidth="1"/>
    <col min="2816" max="2817" width="26" style="56" customWidth="1"/>
    <col min="2818" max="2818" width="1.6640625" style="56" customWidth="1"/>
    <col min="2819" max="2821" width="18.6640625" style="56" customWidth="1"/>
    <col min="2822" max="2822" width="1.6640625" style="56" customWidth="1"/>
    <col min="2823" max="2823" width="25.44140625" style="56" customWidth="1"/>
    <col min="2824" max="2824" width="20.6640625" style="56" customWidth="1"/>
    <col min="2825" max="2825" width="1.6640625" style="56" customWidth="1"/>
    <col min="2826" max="2827" width="25.44140625" style="56" customWidth="1"/>
    <col min="2828" max="2828" width="20.6640625" style="56" customWidth="1"/>
    <col min="2829" max="2829" width="1.6640625" style="56" customWidth="1"/>
    <col min="2830" max="2830" width="41.5546875" style="56" customWidth="1"/>
    <col min="2831" max="2831" width="11.5546875" style="56" customWidth="1"/>
    <col min="2832" max="2832" width="23" style="56" customWidth="1"/>
    <col min="2833" max="2836" width="18.6640625" style="56" customWidth="1"/>
    <col min="2837" max="2837" width="1.6640625" style="56" customWidth="1"/>
    <col min="2838" max="3063" width="9.109375" style="56"/>
    <col min="3064" max="3064" width="40" style="56" customWidth="1"/>
    <col min="3065" max="3065" width="11.5546875" style="56" customWidth="1"/>
    <col min="3066" max="3066" width="24" style="56" customWidth="1"/>
    <col min="3067" max="3070" width="15.88671875" style="56" customWidth="1"/>
    <col min="3071" max="3071" width="1.6640625" style="56" customWidth="1"/>
    <col min="3072" max="3073" width="26" style="56" customWidth="1"/>
    <col min="3074" max="3074" width="1.6640625" style="56" customWidth="1"/>
    <col min="3075" max="3077" width="18.6640625" style="56" customWidth="1"/>
    <col min="3078" max="3078" width="1.6640625" style="56" customWidth="1"/>
    <col min="3079" max="3079" width="25.44140625" style="56" customWidth="1"/>
    <col min="3080" max="3080" width="20.6640625" style="56" customWidth="1"/>
    <col min="3081" max="3081" width="1.6640625" style="56" customWidth="1"/>
    <col min="3082" max="3083" width="25.44140625" style="56" customWidth="1"/>
    <col min="3084" max="3084" width="20.6640625" style="56" customWidth="1"/>
    <col min="3085" max="3085" width="1.6640625" style="56" customWidth="1"/>
    <col min="3086" max="3086" width="41.5546875" style="56" customWidth="1"/>
    <col min="3087" max="3087" width="11.5546875" style="56" customWidth="1"/>
    <col min="3088" max="3088" width="23" style="56" customWidth="1"/>
    <col min="3089" max="3092" width="18.6640625" style="56" customWidth="1"/>
    <col min="3093" max="3093" width="1.6640625" style="56" customWidth="1"/>
    <col min="3094" max="3319" width="9.109375" style="56"/>
    <col min="3320" max="3320" width="40" style="56" customWidth="1"/>
    <col min="3321" max="3321" width="11.5546875" style="56" customWidth="1"/>
    <col min="3322" max="3322" width="24" style="56" customWidth="1"/>
    <col min="3323" max="3326" width="15.88671875" style="56" customWidth="1"/>
    <col min="3327" max="3327" width="1.6640625" style="56" customWidth="1"/>
    <col min="3328" max="3329" width="26" style="56" customWidth="1"/>
    <col min="3330" max="3330" width="1.6640625" style="56" customWidth="1"/>
    <col min="3331" max="3333" width="18.6640625" style="56" customWidth="1"/>
    <col min="3334" max="3334" width="1.6640625" style="56" customWidth="1"/>
    <col min="3335" max="3335" width="25.44140625" style="56" customWidth="1"/>
    <col min="3336" max="3336" width="20.6640625" style="56" customWidth="1"/>
    <col min="3337" max="3337" width="1.6640625" style="56" customWidth="1"/>
    <col min="3338" max="3339" width="25.44140625" style="56" customWidth="1"/>
    <col min="3340" max="3340" width="20.6640625" style="56" customWidth="1"/>
    <col min="3341" max="3341" width="1.6640625" style="56" customWidth="1"/>
    <col min="3342" max="3342" width="41.5546875" style="56" customWidth="1"/>
    <col min="3343" max="3343" width="11.5546875" style="56" customWidth="1"/>
    <col min="3344" max="3344" width="23" style="56" customWidth="1"/>
    <col min="3345" max="3348" width="18.6640625" style="56" customWidth="1"/>
    <col min="3349" max="3349" width="1.6640625" style="56" customWidth="1"/>
    <col min="3350" max="3575" width="9.109375" style="56"/>
    <col min="3576" max="3576" width="40" style="56" customWidth="1"/>
    <col min="3577" max="3577" width="11.5546875" style="56" customWidth="1"/>
    <col min="3578" max="3578" width="24" style="56" customWidth="1"/>
    <col min="3579" max="3582" width="15.88671875" style="56" customWidth="1"/>
    <col min="3583" max="3583" width="1.6640625" style="56" customWidth="1"/>
    <col min="3584" max="3585" width="26" style="56" customWidth="1"/>
    <col min="3586" max="3586" width="1.6640625" style="56" customWidth="1"/>
    <col min="3587" max="3589" width="18.6640625" style="56" customWidth="1"/>
    <col min="3590" max="3590" width="1.6640625" style="56" customWidth="1"/>
    <col min="3591" max="3591" width="25.44140625" style="56" customWidth="1"/>
    <col min="3592" max="3592" width="20.6640625" style="56" customWidth="1"/>
    <col min="3593" max="3593" width="1.6640625" style="56" customWidth="1"/>
    <col min="3594" max="3595" width="25.44140625" style="56" customWidth="1"/>
    <col min="3596" max="3596" width="20.6640625" style="56" customWidth="1"/>
    <col min="3597" max="3597" width="1.6640625" style="56" customWidth="1"/>
    <col min="3598" max="3598" width="41.5546875" style="56" customWidth="1"/>
    <col min="3599" max="3599" width="11.5546875" style="56" customWidth="1"/>
    <col min="3600" max="3600" width="23" style="56" customWidth="1"/>
    <col min="3601" max="3604" width="18.6640625" style="56" customWidth="1"/>
    <col min="3605" max="3605" width="1.6640625" style="56" customWidth="1"/>
    <col min="3606" max="3831" width="9.109375" style="56"/>
    <col min="3832" max="3832" width="40" style="56" customWidth="1"/>
    <col min="3833" max="3833" width="11.5546875" style="56" customWidth="1"/>
    <col min="3834" max="3834" width="24" style="56" customWidth="1"/>
    <col min="3835" max="3838" width="15.88671875" style="56" customWidth="1"/>
    <col min="3839" max="3839" width="1.6640625" style="56" customWidth="1"/>
    <col min="3840" max="3841" width="26" style="56" customWidth="1"/>
    <col min="3842" max="3842" width="1.6640625" style="56" customWidth="1"/>
    <col min="3843" max="3845" width="18.6640625" style="56" customWidth="1"/>
    <col min="3846" max="3846" width="1.6640625" style="56" customWidth="1"/>
    <col min="3847" max="3847" width="25.44140625" style="56" customWidth="1"/>
    <col min="3848" max="3848" width="20.6640625" style="56" customWidth="1"/>
    <col min="3849" max="3849" width="1.6640625" style="56" customWidth="1"/>
    <col min="3850" max="3851" width="25.44140625" style="56" customWidth="1"/>
    <col min="3852" max="3852" width="20.6640625" style="56" customWidth="1"/>
    <col min="3853" max="3853" width="1.6640625" style="56" customWidth="1"/>
    <col min="3854" max="3854" width="41.5546875" style="56" customWidth="1"/>
    <col min="3855" max="3855" width="11.5546875" style="56" customWidth="1"/>
    <col min="3856" max="3856" width="23" style="56" customWidth="1"/>
    <col min="3857" max="3860" width="18.6640625" style="56" customWidth="1"/>
    <col min="3861" max="3861" width="1.6640625" style="56" customWidth="1"/>
    <col min="3862" max="4087" width="9.109375" style="56"/>
    <col min="4088" max="4088" width="40" style="56" customWidth="1"/>
    <col min="4089" max="4089" width="11.5546875" style="56" customWidth="1"/>
    <col min="4090" max="4090" width="24" style="56" customWidth="1"/>
    <col min="4091" max="4094" width="15.88671875" style="56" customWidth="1"/>
    <col min="4095" max="4095" width="1.6640625" style="56" customWidth="1"/>
    <col min="4096" max="4097" width="26" style="56" customWidth="1"/>
    <col min="4098" max="4098" width="1.6640625" style="56" customWidth="1"/>
    <col min="4099" max="4101" width="18.6640625" style="56" customWidth="1"/>
    <col min="4102" max="4102" width="1.6640625" style="56" customWidth="1"/>
    <col min="4103" max="4103" width="25.44140625" style="56" customWidth="1"/>
    <col min="4104" max="4104" width="20.6640625" style="56" customWidth="1"/>
    <col min="4105" max="4105" width="1.6640625" style="56" customWidth="1"/>
    <col min="4106" max="4107" width="25.44140625" style="56" customWidth="1"/>
    <col min="4108" max="4108" width="20.6640625" style="56" customWidth="1"/>
    <col min="4109" max="4109" width="1.6640625" style="56" customWidth="1"/>
    <col min="4110" max="4110" width="41.5546875" style="56" customWidth="1"/>
    <col min="4111" max="4111" width="11.5546875" style="56" customWidth="1"/>
    <col min="4112" max="4112" width="23" style="56" customWidth="1"/>
    <col min="4113" max="4116" width="18.6640625" style="56" customWidth="1"/>
    <col min="4117" max="4117" width="1.6640625" style="56" customWidth="1"/>
    <col min="4118" max="4343" width="9.109375" style="56"/>
    <col min="4344" max="4344" width="40" style="56" customWidth="1"/>
    <col min="4345" max="4345" width="11.5546875" style="56" customWidth="1"/>
    <col min="4346" max="4346" width="24" style="56" customWidth="1"/>
    <col min="4347" max="4350" width="15.88671875" style="56" customWidth="1"/>
    <col min="4351" max="4351" width="1.6640625" style="56" customWidth="1"/>
    <col min="4352" max="4353" width="26" style="56" customWidth="1"/>
    <col min="4354" max="4354" width="1.6640625" style="56" customWidth="1"/>
    <col min="4355" max="4357" width="18.6640625" style="56" customWidth="1"/>
    <col min="4358" max="4358" width="1.6640625" style="56" customWidth="1"/>
    <col min="4359" max="4359" width="25.44140625" style="56" customWidth="1"/>
    <col min="4360" max="4360" width="20.6640625" style="56" customWidth="1"/>
    <col min="4361" max="4361" width="1.6640625" style="56" customWidth="1"/>
    <col min="4362" max="4363" width="25.44140625" style="56" customWidth="1"/>
    <col min="4364" max="4364" width="20.6640625" style="56" customWidth="1"/>
    <col min="4365" max="4365" width="1.6640625" style="56" customWidth="1"/>
    <col min="4366" max="4366" width="41.5546875" style="56" customWidth="1"/>
    <col min="4367" max="4367" width="11.5546875" style="56" customWidth="1"/>
    <col min="4368" max="4368" width="23" style="56" customWidth="1"/>
    <col min="4369" max="4372" width="18.6640625" style="56" customWidth="1"/>
    <col min="4373" max="4373" width="1.6640625" style="56" customWidth="1"/>
    <col min="4374" max="4599" width="9.109375" style="56"/>
    <col min="4600" max="4600" width="40" style="56" customWidth="1"/>
    <col min="4601" max="4601" width="11.5546875" style="56" customWidth="1"/>
    <col min="4602" max="4602" width="24" style="56" customWidth="1"/>
    <col min="4603" max="4606" width="15.88671875" style="56" customWidth="1"/>
    <col min="4607" max="4607" width="1.6640625" style="56" customWidth="1"/>
    <col min="4608" max="4609" width="26" style="56" customWidth="1"/>
    <col min="4610" max="4610" width="1.6640625" style="56" customWidth="1"/>
    <col min="4611" max="4613" width="18.6640625" style="56" customWidth="1"/>
    <col min="4614" max="4614" width="1.6640625" style="56" customWidth="1"/>
    <col min="4615" max="4615" width="25.44140625" style="56" customWidth="1"/>
    <col min="4616" max="4616" width="20.6640625" style="56" customWidth="1"/>
    <col min="4617" max="4617" width="1.6640625" style="56" customWidth="1"/>
    <col min="4618" max="4619" width="25.44140625" style="56" customWidth="1"/>
    <col min="4620" max="4620" width="20.6640625" style="56" customWidth="1"/>
    <col min="4621" max="4621" width="1.6640625" style="56" customWidth="1"/>
    <col min="4622" max="4622" width="41.5546875" style="56" customWidth="1"/>
    <col min="4623" max="4623" width="11.5546875" style="56" customWidth="1"/>
    <col min="4624" max="4624" width="23" style="56" customWidth="1"/>
    <col min="4625" max="4628" width="18.6640625" style="56" customWidth="1"/>
    <col min="4629" max="4629" width="1.6640625" style="56" customWidth="1"/>
    <col min="4630" max="4855" width="9.109375" style="56"/>
    <col min="4856" max="4856" width="40" style="56" customWidth="1"/>
    <col min="4857" max="4857" width="11.5546875" style="56" customWidth="1"/>
    <col min="4858" max="4858" width="24" style="56" customWidth="1"/>
    <col min="4859" max="4862" width="15.88671875" style="56" customWidth="1"/>
    <col min="4863" max="4863" width="1.6640625" style="56" customWidth="1"/>
    <col min="4864" max="4865" width="26" style="56" customWidth="1"/>
    <col min="4866" max="4866" width="1.6640625" style="56" customWidth="1"/>
    <col min="4867" max="4869" width="18.6640625" style="56" customWidth="1"/>
    <col min="4870" max="4870" width="1.6640625" style="56" customWidth="1"/>
    <col min="4871" max="4871" width="25.44140625" style="56" customWidth="1"/>
    <col min="4872" max="4872" width="20.6640625" style="56" customWidth="1"/>
    <col min="4873" max="4873" width="1.6640625" style="56" customWidth="1"/>
    <col min="4874" max="4875" width="25.44140625" style="56" customWidth="1"/>
    <col min="4876" max="4876" width="20.6640625" style="56" customWidth="1"/>
    <col min="4877" max="4877" width="1.6640625" style="56" customWidth="1"/>
    <col min="4878" max="4878" width="41.5546875" style="56" customWidth="1"/>
    <col min="4879" max="4879" width="11.5546875" style="56" customWidth="1"/>
    <col min="4880" max="4880" width="23" style="56" customWidth="1"/>
    <col min="4881" max="4884" width="18.6640625" style="56" customWidth="1"/>
    <col min="4885" max="4885" width="1.6640625" style="56" customWidth="1"/>
    <col min="4886" max="5111" width="9.109375" style="56"/>
    <col min="5112" max="5112" width="40" style="56" customWidth="1"/>
    <col min="5113" max="5113" width="11.5546875" style="56" customWidth="1"/>
    <col min="5114" max="5114" width="24" style="56" customWidth="1"/>
    <col min="5115" max="5118" width="15.88671875" style="56" customWidth="1"/>
    <col min="5119" max="5119" width="1.6640625" style="56" customWidth="1"/>
    <col min="5120" max="5121" width="26" style="56" customWidth="1"/>
    <col min="5122" max="5122" width="1.6640625" style="56" customWidth="1"/>
    <col min="5123" max="5125" width="18.6640625" style="56" customWidth="1"/>
    <col min="5126" max="5126" width="1.6640625" style="56" customWidth="1"/>
    <col min="5127" max="5127" width="25.44140625" style="56" customWidth="1"/>
    <col min="5128" max="5128" width="20.6640625" style="56" customWidth="1"/>
    <col min="5129" max="5129" width="1.6640625" style="56" customWidth="1"/>
    <col min="5130" max="5131" width="25.44140625" style="56" customWidth="1"/>
    <col min="5132" max="5132" width="20.6640625" style="56" customWidth="1"/>
    <col min="5133" max="5133" width="1.6640625" style="56" customWidth="1"/>
    <col min="5134" max="5134" width="41.5546875" style="56" customWidth="1"/>
    <col min="5135" max="5135" width="11.5546875" style="56" customWidth="1"/>
    <col min="5136" max="5136" width="23" style="56" customWidth="1"/>
    <col min="5137" max="5140" width="18.6640625" style="56" customWidth="1"/>
    <col min="5141" max="5141" width="1.6640625" style="56" customWidth="1"/>
    <col min="5142" max="5367" width="9.109375" style="56"/>
    <col min="5368" max="5368" width="40" style="56" customWidth="1"/>
    <col min="5369" max="5369" width="11.5546875" style="56" customWidth="1"/>
    <col min="5370" max="5370" width="24" style="56" customWidth="1"/>
    <col min="5371" max="5374" width="15.88671875" style="56" customWidth="1"/>
    <col min="5375" max="5375" width="1.6640625" style="56" customWidth="1"/>
    <col min="5376" max="5377" width="26" style="56" customWidth="1"/>
    <col min="5378" max="5378" width="1.6640625" style="56" customWidth="1"/>
    <col min="5379" max="5381" width="18.6640625" style="56" customWidth="1"/>
    <col min="5382" max="5382" width="1.6640625" style="56" customWidth="1"/>
    <col min="5383" max="5383" width="25.44140625" style="56" customWidth="1"/>
    <col min="5384" max="5384" width="20.6640625" style="56" customWidth="1"/>
    <col min="5385" max="5385" width="1.6640625" style="56" customWidth="1"/>
    <col min="5386" max="5387" width="25.44140625" style="56" customWidth="1"/>
    <col min="5388" max="5388" width="20.6640625" style="56" customWidth="1"/>
    <col min="5389" max="5389" width="1.6640625" style="56" customWidth="1"/>
    <col min="5390" max="5390" width="41.5546875" style="56" customWidth="1"/>
    <col min="5391" max="5391" width="11.5546875" style="56" customWidth="1"/>
    <col min="5392" max="5392" width="23" style="56" customWidth="1"/>
    <col min="5393" max="5396" width="18.6640625" style="56" customWidth="1"/>
    <col min="5397" max="5397" width="1.6640625" style="56" customWidth="1"/>
    <col min="5398" max="5623" width="9.109375" style="56"/>
    <col min="5624" max="5624" width="40" style="56" customWidth="1"/>
    <col min="5625" max="5625" width="11.5546875" style="56" customWidth="1"/>
    <col min="5626" max="5626" width="24" style="56" customWidth="1"/>
    <col min="5627" max="5630" width="15.88671875" style="56" customWidth="1"/>
    <col min="5631" max="5631" width="1.6640625" style="56" customWidth="1"/>
    <col min="5632" max="5633" width="26" style="56" customWidth="1"/>
    <col min="5634" max="5634" width="1.6640625" style="56" customWidth="1"/>
    <col min="5635" max="5637" width="18.6640625" style="56" customWidth="1"/>
    <col min="5638" max="5638" width="1.6640625" style="56" customWidth="1"/>
    <col min="5639" max="5639" width="25.44140625" style="56" customWidth="1"/>
    <col min="5640" max="5640" width="20.6640625" style="56" customWidth="1"/>
    <col min="5641" max="5641" width="1.6640625" style="56" customWidth="1"/>
    <col min="5642" max="5643" width="25.44140625" style="56" customWidth="1"/>
    <col min="5644" max="5644" width="20.6640625" style="56" customWidth="1"/>
    <col min="5645" max="5645" width="1.6640625" style="56" customWidth="1"/>
    <col min="5646" max="5646" width="41.5546875" style="56" customWidth="1"/>
    <col min="5647" max="5647" width="11.5546875" style="56" customWidth="1"/>
    <col min="5648" max="5648" width="23" style="56" customWidth="1"/>
    <col min="5649" max="5652" width="18.6640625" style="56" customWidth="1"/>
    <col min="5653" max="5653" width="1.6640625" style="56" customWidth="1"/>
    <col min="5654" max="5879" width="9.109375" style="56"/>
    <col min="5880" max="5880" width="40" style="56" customWidth="1"/>
    <col min="5881" max="5881" width="11.5546875" style="56" customWidth="1"/>
    <col min="5882" max="5882" width="24" style="56" customWidth="1"/>
    <col min="5883" max="5886" width="15.88671875" style="56" customWidth="1"/>
    <col min="5887" max="5887" width="1.6640625" style="56" customWidth="1"/>
    <col min="5888" max="5889" width="26" style="56" customWidth="1"/>
    <col min="5890" max="5890" width="1.6640625" style="56" customWidth="1"/>
    <col min="5891" max="5893" width="18.6640625" style="56" customWidth="1"/>
    <col min="5894" max="5894" width="1.6640625" style="56" customWidth="1"/>
    <col min="5895" max="5895" width="25.44140625" style="56" customWidth="1"/>
    <col min="5896" max="5896" width="20.6640625" style="56" customWidth="1"/>
    <col min="5897" max="5897" width="1.6640625" style="56" customWidth="1"/>
    <col min="5898" max="5899" width="25.44140625" style="56" customWidth="1"/>
    <col min="5900" max="5900" width="20.6640625" style="56" customWidth="1"/>
    <col min="5901" max="5901" width="1.6640625" style="56" customWidth="1"/>
    <col min="5902" max="5902" width="41.5546875" style="56" customWidth="1"/>
    <col min="5903" max="5903" width="11.5546875" style="56" customWidth="1"/>
    <col min="5904" max="5904" width="23" style="56" customWidth="1"/>
    <col min="5905" max="5908" width="18.6640625" style="56" customWidth="1"/>
    <col min="5909" max="5909" width="1.6640625" style="56" customWidth="1"/>
    <col min="5910" max="6135" width="9.109375" style="56"/>
    <col min="6136" max="6136" width="40" style="56" customWidth="1"/>
    <col min="6137" max="6137" width="11.5546875" style="56" customWidth="1"/>
    <col min="6138" max="6138" width="24" style="56" customWidth="1"/>
    <col min="6139" max="6142" width="15.88671875" style="56" customWidth="1"/>
    <col min="6143" max="6143" width="1.6640625" style="56" customWidth="1"/>
    <col min="6144" max="6145" width="26" style="56" customWidth="1"/>
    <col min="6146" max="6146" width="1.6640625" style="56" customWidth="1"/>
    <col min="6147" max="6149" width="18.6640625" style="56" customWidth="1"/>
    <col min="6150" max="6150" width="1.6640625" style="56" customWidth="1"/>
    <col min="6151" max="6151" width="25.44140625" style="56" customWidth="1"/>
    <col min="6152" max="6152" width="20.6640625" style="56" customWidth="1"/>
    <col min="6153" max="6153" width="1.6640625" style="56" customWidth="1"/>
    <col min="6154" max="6155" width="25.44140625" style="56" customWidth="1"/>
    <col min="6156" max="6156" width="20.6640625" style="56" customWidth="1"/>
    <col min="6157" max="6157" width="1.6640625" style="56" customWidth="1"/>
    <col min="6158" max="6158" width="41.5546875" style="56" customWidth="1"/>
    <col min="6159" max="6159" width="11.5546875" style="56" customWidth="1"/>
    <col min="6160" max="6160" width="23" style="56" customWidth="1"/>
    <col min="6161" max="6164" width="18.6640625" style="56" customWidth="1"/>
    <col min="6165" max="6165" width="1.6640625" style="56" customWidth="1"/>
    <col min="6166" max="6391" width="9.109375" style="56"/>
    <col min="6392" max="6392" width="40" style="56" customWidth="1"/>
    <col min="6393" max="6393" width="11.5546875" style="56" customWidth="1"/>
    <col min="6394" max="6394" width="24" style="56" customWidth="1"/>
    <col min="6395" max="6398" width="15.88671875" style="56" customWidth="1"/>
    <col min="6399" max="6399" width="1.6640625" style="56" customWidth="1"/>
    <col min="6400" max="6401" width="26" style="56" customWidth="1"/>
    <col min="6402" max="6402" width="1.6640625" style="56" customWidth="1"/>
    <col min="6403" max="6405" width="18.6640625" style="56" customWidth="1"/>
    <col min="6406" max="6406" width="1.6640625" style="56" customWidth="1"/>
    <col min="6407" max="6407" width="25.44140625" style="56" customWidth="1"/>
    <col min="6408" max="6408" width="20.6640625" style="56" customWidth="1"/>
    <col min="6409" max="6409" width="1.6640625" style="56" customWidth="1"/>
    <col min="6410" max="6411" width="25.44140625" style="56" customWidth="1"/>
    <col min="6412" max="6412" width="20.6640625" style="56" customWidth="1"/>
    <col min="6413" max="6413" width="1.6640625" style="56" customWidth="1"/>
    <col min="6414" max="6414" width="41.5546875" style="56" customWidth="1"/>
    <col min="6415" max="6415" width="11.5546875" style="56" customWidth="1"/>
    <col min="6416" max="6416" width="23" style="56" customWidth="1"/>
    <col min="6417" max="6420" width="18.6640625" style="56" customWidth="1"/>
    <col min="6421" max="6421" width="1.6640625" style="56" customWidth="1"/>
    <col min="6422" max="6647" width="9.109375" style="56"/>
    <col min="6648" max="6648" width="40" style="56" customWidth="1"/>
    <col min="6649" max="6649" width="11.5546875" style="56" customWidth="1"/>
    <col min="6650" max="6650" width="24" style="56" customWidth="1"/>
    <col min="6651" max="6654" width="15.88671875" style="56" customWidth="1"/>
    <col min="6655" max="6655" width="1.6640625" style="56" customWidth="1"/>
    <col min="6656" max="6657" width="26" style="56" customWidth="1"/>
    <col min="6658" max="6658" width="1.6640625" style="56" customWidth="1"/>
    <col min="6659" max="6661" width="18.6640625" style="56" customWidth="1"/>
    <col min="6662" max="6662" width="1.6640625" style="56" customWidth="1"/>
    <col min="6663" max="6663" width="25.44140625" style="56" customWidth="1"/>
    <col min="6664" max="6664" width="20.6640625" style="56" customWidth="1"/>
    <col min="6665" max="6665" width="1.6640625" style="56" customWidth="1"/>
    <col min="6666" max="6667" width="25.44140625" style="56" customWidth="1"/>
    <col min="6668" max="6668" width="20.6640625" style="56" customWidth="1"/>
    <col min="6669" max="6669" width="1.6640625" style="56" customWidth="1"/>
    <col min="6670" max="6670" width="41.5546875" style="56" customWidth="1"/>
    <col min="6671" max="6671" width="11.5546875" style="56" customWidth="1"/>
    <col min="6672" max="6672" width="23" style="56" customWidth="1"/>
    <col min="6673" max="6676" width="18.6640625" style="56" customWidth="1"/>
    <col min="6677" max="6677" width="1.6640625" style="56" customWidth="1"/>
    <col min="6678" max="6903" width="9.109375" style="56"/>
    <col min="6904" max="6904" width="40" style="56" customWidth="1"/>
    <col min="6905" max="6905" width="11.5546875" style="56" customWidth="1"/>
    <col min="6906" max="6906" width="24" style="56" customWidth="1"/>
    <col min="6907" max="6910" width="15.88671875" style="56" customWidth="1"/>
    <col min="6911" max="6911" width="1.6640625" style="56" customWidth="1"/>
    <col min="6912" max="6913" width="26" style="56" customWidth="1"/>
    <col min="6914" max="6914" width="1.6640625" style="56" customWidth="1"/>
    <col min="6915" max="6917" width="18.6640625" style="56" customWidth="1"/>
    <col min="6918" max="6918" width="1.6640625" style="56" customWidth="1"/>
    <col min="6919" max="6919" width="25.44140625" style="56" customWidth="1"/>
    <col min="6920" max="6920" width="20.6640625" style="56" customWidth="1"/>
    <col min="6921" max="6921" width="1.6640625" style="56" customWidth="1"/>
    <col min="6922" max="6923" width="25.44140625" style="56" customWidth="1"/>
    <col min="6924" max="6924" width="20.6640625" style="56" customWidth="1"/>
    <col min="6925" max="6925" width="1.6640625" style="56" customWidth="1"/>
    <col min="6926" max="6926" width="41.5546875" style="56" customWidth="1"/>
    <col min="6927" max="6927" width="11.5546875" style="56" customWidth="1"/>
    <col min="6928" max="6928" width="23" style="56" customWidth="1"/>
    <col min="6929" max="6932" width="18.6640625" style="56" customWidth="1"/>
    <col min="6933" max="6933" width="1.6640625" style="56" customWidth="1"/>
    <col min="6934" max="7159" width="9.109375" style="56"/>
    <col min="7160" max="7160" width="40" style="56" customWidth="1"/>
    <col min="7161" max="7161" width="11.5546875" style="56" customWidth="1"/>
    <col min="7162" max="7162" width="24" style="56" customWidth="1"/>
    <col min="7163" max="7166" width="15.88671875" style="56" customWidth="1"/>
    <col min="7167" max="7167" width="1.6640625" style="56" customWidth="1"/>
    <col min="7168" max="7169" width="26" style="56" customWidth="1"/>
    <col min="7170" max="7170" width="1.6640625" style="56" customWidth="1"/>
    <col min="7171" max="7173" width="18.6640625" style="56" customWidth="1"/>
    <col min="7174" max="7174" width="1.6640625" style="56" customWidth="1"/>
    <col min="7175" max="7175" width="25.44140625" style="56" customWidth="1"/>
    <col min="7176" max="7176" width="20.6640625" style="56" customWidth="1"/>
    <col min="7177" max="7177" width="1.6640625" style="56" customWidth="1"/>
    <col min="7178" max="7179" width="25.44140625" style="56" customWidth="1"/>
    <col min="7180" max="7180" width="20.6640625" style="56" customWidth="1"/>
    <col min="7181" max="7181" width="1.6640625" style="56" customWidth="1"/>
    <col min="7182" max="7182" width="41.5546875" style="56" customWidth="1"/>
    <col min="7183" max="7183" width="11.5546875" style="56" customWidth="1"/>
    <col min="7184" max="7184" width="23" style="56" customWidth="1"/>
    <col min="7185" max="7188" width="18.6640625" style="56" customWidth="1"/>
    <col min="7189" max="7189" width="1.6640625" style="56" customWidth="1"/>
    <col min="7190" max="7415" width="9.109375" style="56"/>
    <col min="7416" max="7416" width="40" style="56" customWidth="1"/>
    <col min="7417" max="7417" width="11.5546875" style="56" customWidth="1"/>
    <col min="7418" max="7418" width="24" style="56" customWidth="1"/>
    <col min="7419" max="7422" width="15.88671875" style="56" customWidth="1"/>
    <col min="7423" max="7423" width="1.6640625" style="56" customWidth="1"/>
    <col min="7424" max="7425" width="26" style="56" customWidth="1"/>
    <col min="7426" max="7426" width="1.6640625" style="56" customWidth="1"/>
    <col min="7427" max="7429" width="18.6640625" style="56" customWidth="1"/>
    <col min="7430" max="7430" width="1.6640625" style="56" customWidth="1"/>
    <col min="7431" max="7431" width="25.44140625" style="56" customWidth="1"/>
    <col min="7432" max="7432" width="20.6640625" style="56" customWidth="1"/>
    <col min="7433" max="7433" width="1.6640625" style="56" customWidth="1"/>
    <col min="7434" max="7435" width="25.44140625" style="56" customWidth="1"/>
    <col min="7436" max="7436" width="20.6640625" style="56" customWidth="1"/>
    <col min="7437" max="7437" width="1.6640625" style="56" customWidth="1"/>
    <col min="7438" max="7438" width="41.5546875" style="56" customWidth="1"/>
    <col min="7439" max="7439" width="11.5546875" style="56" customWidth="1"/>
    <col min="7440" max="7440" width="23" style="56" customWidth="1"/>
    <col min="7441" max="7444" width="18.6640625" style="56" customWidth="1"/>
    <col min="7445" max="7445" width="1.6640625" style="56" customWidth="1"/>
    <col min="7446" max="7671" width="9.109375" style="56"/>
    <col min="7672" max="7672" width="40" style="56" customWidth="1"/>
    <col min="7673" max="7673" width="11.5546875" style="56" customWidth="1"/>
    <col min="7674" max="7674" width="24" style="56" customWidth="1"/>
    <col min="7675" max="7678" width="15.88671875" style="56" customWidth="1"/>
    <col min="7679" max="7679" width="1.6640625" style="56" customWidth="1"/>
    <col min="7680" max="7681" width="26" style="56" customWidth="1"/>
    <col min="7682" max="7682" width="1.6640625" style="56" customWidth="1"/>
    <col min="7683" max="7685" width="18.6640625" style="56" customWidth="1"/>
    <col min="7686" max="7686" width="1.6640625" style="56" customWidth="1"/>
    <col min="7687" max="7687" width="25.44140625" style="56" customWidth="1"/>
    <col min="7688" max="7688" width="20.6640625" style="56" customWidth="1"/>
    <col min="7689" max="7689" width="1.6640625" style="56" customWidth="1"/>
    <col min="7690" max="7691" width="25.44140625" style="56" customWidth="1"/>
    <col min="7692" max="7692" width="20.6640625" style="56" customWidth="1"/>
    <col min="7693" max="7693" width="1.6640625" style="56" customWidth="1"/>
    <col min="7694" max="7694" width="41.5546875" style="56" customWidth="1"/>
    <col min="7695" max="7695" width="11.5546875" style="56" customWidth="1"/>
    <col min="7696" max="7696" width="23" style="56" customWidth="1"/>
    <col min="7697" max="7700" width="18.6640625" style="56" customWidth="1"/>
    <col min="7701" max="7701" width="1.6640625" style="56" customWidth="1"/>
    <col min="7702" max="7927" width="9.109375" style="56"/>
    <col min="7928" max="7928" width="40" style="56" customWidth="1"/>
    <col min="7929" max="7929" width="11.5546875" style="56" customWidth="1"/>
    <col min="7930" max="7930" width="24" style="56" customWidth="1"/>
    <col min="7931" max="7934" width="15.88671875" style="56" customWidth="1"/>
    <col min="7935" max="7935" width="1.6640625" style="56" customWidth="1"/>
    <col min="7936" max="7937" width="26" style="56" customWidth="1"/>
    <col min="7938" max="7938" width="1.6640625" style="56" customWidth="1"/>
    <col min="7939" max="7941" width="18.6640625" style="56" customWidth="1"/>
    <col min="7942" max="7942" width="1.6640625" style="56" customWidth="1"/>
    <col min="7943" max="7943" width="25.44140625" style="56" customWidth="1"/>
    <col min="7944" max="7944" width="20.6640625" style="56" customWidth="1"/>
    <col min="7945" max="7945" width="1.6640625" style="56" customWidth="1"/>
    <col min="7946" max="7947" width="25.44140625" style="56" customWidth="1"/>
    <col min="7948" max="7948" width="20.6640625" style="56" customWidth="1"/>
    <col min="7949" max="7949" width="1.6640625" style="56" customWidth="1"/>
    <col min="7950" max="7950" width="41.5546875" style="56" customWidth="1"/>
    <col min="7951" max="7951" width="11.5546875" style="56" customWidth="1"/>
    <col min="7952" max="7952" width="23" style="56" customWidth="1"/>
    <col min="7953" max="7956" width="18.6640625" style="56" customWidth="1"/>
    <col min="7957" max="7957" width="1.6640625" style="56" customWidth="1"/>
    <col min="7958" max="8183" width="9.109375" style="56"/>
    <col min="8184" max="8184" width="40" style="56" customWidth="1"/>
    <col min="8185" max="8185" width="11.5546875" style="56" customWidth="1"/>
    <col min="8186" max="8186" width="24" style="56" customWidth="1"/>
    <col min="8187" max="8190" width="15.88671875" style="56" customWidth="1"/>
    <col min="8191" max="8191" width="1.6640625" style="56" customWidth="1"/>
    <col min="8192" max="8193" width="26" style="56" customWidth="1"/>
    <col min="8194" max="8194" width="1.6640625" style="56" customWidth="1"/>
    <col min="8195" max="8197" width="18.6640625" style="56" customWidth="1"/>
    <col min="8198" max="8198" width="1.6640625" style="56" customWidth="1"/>
    <col min="8199" max="8199" width="25.44140625" style="56" customWidth="1"/>
    <col min="8200" max="8200" width="20.6640625" style="56" customWidth="1"/>
    <col min="8201" max="8201" width="1.6640625" style="56" customWidth="1"/>
    <col min="8202" max="8203" width="25.44140625" style="56" customWidth="1"/>
    <col min="8204" max="8204" width="20.6640625" style="56" customWidth="1"/>
    <col min="8205" max="8205" width="1.6640625" style="56" customWidth="1"/>
    <col min="8206" max="8206" width="41.5546875" style="56" customWidth="1"/>
    <col min="8207" max="8207" width="11.5546875" style="56" customWidth="1"/>
    <col min="8208" max="8208" width="23" style="56" customWidth="1"/>
    <col min="8209" max="8212" width="18.6640625" style="56" customWidth="1"/>
    <col min="8213" max="8213" width="1.6640625" style="56" customWidth="1"/>
    <col min="8214" max="8439" width="9.109375" style="56"/>
    <col min="8440" max="8440" width="40" style="56" customWidth="1"/>
    <col min="8441" max="8441" width="11.5546875" style="56" customWidth="1"/>
    <col min="8442" max="8442" width="24" style="56" customWidth="1"/>
    <col min="8443" max="8446" width="15.88671875" style="56" customWidth="1"/>
    <col min="8447" max="8447" width="1.6640625" style="56" customWidth="1"/>
    <col min="8448" max="8449" width="26" style="56" customWidth="1"/>
    <col min="8450" max="8450" width="1.6640625" style="56" customWidth="1"/>
    <col min="8451" max="8453" width="18.6640625" style="56" customWidth="1"/>
    <col min="8454" max="8454" width="1.6640625" style="56" customWidth="1"/>
    <col min="8455" max="8455" width="25.44140625" style="56" customWidth="1"/>
    <col min="8456" max="8456" width="20.6640625" style="56" customWidth="1"/>
    <col min="8457" max="8457" width="1.6640625" style="56" customWidth="1"/>
    <col min="8458" max="8459" width="25.44140625" style="56" customWidth="1"/>
    <col min="8460" max="8460" width="20.6640625" style="56" customWidth="1"/>
    <col min="8461" max="8461" width="1.6640625" style="56" customWidth="1"/>
    <col min="8462" max="8462" width="41.5546875" style="56" customWidth="1"/>
    <col min="8463" max="8463" width="11.5546875" style="56" customWidth="1"/>
    <col min="8464" max="8464" width="23" style="56" customWidth="1"/>
    <col min="8465" max="8468" width="18.6640625" style="56" customWidth="1"/>
    <col min="8469" max="8469" width="1.6640625" style="56" customWidth="1"/>
    <col min="8470" max="8695" width="9.109375" style="56"/>
    <col min="8696" max="8696" width="40" style="56" customWidth="1"/>
    <col min="8697" max="8697" width="11.5546875" style="56" customWidth="1"/>
    <col min="8698" max="8698" width="24" style="56" customWidth="1"/>
    <col min="8699" max="8702" width="15.88671875" style="56" customWidth="1"/>
    <col min="8703" max="8703" width="1.6640625" style="56" customWidth="1"/>
    <col min="8704" max="8705" width="26" style="56" customWidth="1"/>
    <col min="8706" max="8706" width="1.6640625" style="56" customWidth="1"/>
    <col min="8707" max="8709" width="18.6640625" style="56" customWidth="1"/>
    <col min="8710" max="8710" width="1.6640625" style="56" customWidth="1"/>
    <col min="8711" max="8711" width="25.44140625" style="56" customWidth="1"/>
    <col min="8712" max="8712" width="20.6640625" style="56" customWidth="1"/>
    <col min="8713" max="8713" width="1.6640625" style="56" customWidth="1"/>
    <col min="8714" max="8715" width="25.44140625" style="56" customWidth="1"/>
    <col min="8716" max="8716" width="20.6640625" style="56" customWidth="1"/>
    <col min="8717" max="8717" width="1.6640625" style="56" customWidth="1"/>
    <col min="8718" max="8718" width="41.5546875" style="56" customWidth="1"/>
    <col min="8719" max="8719" width="11.5546875" style="56" customWidth="1"/>
    <col min="8720" max="8720" width="23" style="56" customWidth="1"/>
    <col min="8721" max="8724" width="18.6640625" style="56" customWidth="1"/>
    <col min="8725" max="8725" width="1.6640625" style="56" customWidth="1"/>
    <col min="8726" max="8951" width="9.109375" style="56"/>
    <col min="8952" max="8952" width="40" style="56" customWidth="1"/>
    <col min="8953" max="8953" width="11.5546875" style="56" customWidth="1"/>
    <col min="8954" max="8954" width="24" style="56" customWidth="1"/>
    <col min="8955" max="8958" width="15.88671875" style="56" customWidth="1"/>
    <col min="8959" max="8959" width="1.6640625" style="56" customWidth="1"/>
    <col min="8960" max="8961" width="26" style="56" customWidth="1"/>
    <col min="8962" max="8962" width="1.6640625" style="56" customWidth="1"/>
    <col min="8963" max="8965" width="18.6640625" style="56" customWidth="1"/>
    <col min="8966" max="8966" width="1.6640625" style="56" customWidth="1"/>
    <col min="8967" max="8967" width="25.44140625" style="56" customWidth="1"/>
    <col min="8968" max="8968" width="20.6640625" style="56" customWidth="1"/>
    <col min="8969" max="8969" width="1.6640625" style="56" customWidth="1"/>
    <col min="8970" max="8971" width="25.44140625" style="56" customWidth="1"/>
    <col min="8972" max="8972" width="20.6640625" style="56" customWidth="1"/>
    <col min="8973" max="8973" width="1.6640625" style="56" customWidth="1"/>
    <col min="8974" max="8974" width="41.5546875" style="56" customWidth="1"/>
    <col min="8975" max="8975" width="11.5546875" style="56" customWidth="1"/>
    <col min="8976" max="8976" width="23" style="56" customWidth="1"/>
    <col min="8977" max="8980" width="18.6640625" style="56" customWidth="1"/>
    <col min="8981" max="8981" width="1.6640625" style="56" customWidth="1"/>
    <col min="8982" max="9207" width="9.109375" style="56"/>
    <col min="9208" max="9208" width="40" style="56" customWidth="1"/>
    <col min="9209" max="9209" width="11.5546875" style="56" customWidth="1"/>
    <col min="9210" max="9210" width="24" style="56" customWidth="1"/>
    <col min="9211" max="9214" width="15.88671875" style="56" customWidth="1"/>
    <col min="9215" max="9215" width="1.6640625" style="56" customWidth="1"/>
    <col min="9216" max="9217" width="26" style="56" customWidth="1"/>
    <col min="9218" max="9218" width="1.6640625" style="56" customWidth="1"/>
    <col min="9219" max="9221" width="18.6640625" style="56" customWidth="1"/>
    <col min="9222" max="9222" width="1.6640625" style="56" customWidth="1"/>
    <col min="9223" max="9223" width="25.44140625" style="56" customWidth="1"/>
    <col min="9224" max="9224" width="20.6640625" style="56" customWidth="1"/>
    <col min="9225" max="9225" width="1.6640625" style="56" customWidth="1"/>
    <col min="9226" max="9227" width="25.44140625" style="56" customWidth="1"/>
    <col min="9228" max="9228" width="20.6640625" style="56" customWidth="1"/>
    <col min="9229" max="9229" width="1.6640625" style="56" customWidth="1"/>
    <col min="9230" max="9230" width="41.5546875" style="56" customWidth="1"/>
    <col min="9231" max="9231" width="11.5546875" style="56" customWidth="1"/>
    <col min="9232" max="9232" width="23" style="56" customWidth="1"/>
    <col min="9233" max="9236" width="18.6640625" style="56" customWidth="1"/>
    <col min="9237" max="9237" width="1.6640625" style="56" customWidth="1"/>
    <col min="9238" max="9463" width="9.109375" style="56"/>
    <col min="9464" max="9464" width="40" style="56" customWidth="1"/>
    <col min="9465" max="9465" width="11.5546875" style="56" customWidth="1"/>
    <col min="9466" max="9466" width="24" style="56" customWidth="1"/>
    <col min="9467" max="9470" width="15.88671875" style="56" customWidth="1"/>
    <col min="9471" max="9471" width="1.6640625" style="56" customWidth="1"/>
    <col min="9472" max="9473" width="26" style="56" customWidth="1"/>
    <col min="9474" max="9474" width="1.6640625" style="56" customWidth="1"/>
    <col min="9475" max="9477" width="18.6640625" style="56" customWidth="1"/>
    <col min="9478" max="9478" width="1.6640625" style="56" customWidth="1"/>
    <col min="9479" max="9479" width="25.44140625" style="56" customWidth="1"/>
    <col min="9480" max="9480" width="20.6640625" style="56" customWidth="1"/>
    <col min="9481" max="9481" width="1.6640625" style="56" customWidth="1"/>
    <col min="9482" max="9483" width="25.44140625" style="56" customWidth="1"/>
    <col min="9484" max="9484" width="20.6640625" style="56" customWidth="1"/>
    <col min="9485" max="9485" width="1.6640625" style="56" customWidth="1"/>
    <col min="9486" max="9486" width="41.5546875" style="56" customWidth="1"/>
    <col min="9487" max="9487" width="11.5546875" style="56" customWidth="1"/>
    <col min="9488" max="9488" width="23" style="56" customWidth="1"/>
    <col min="9489" max="9492" width="18.6640625" style="56" customWidth="1"/>
    <col min="9493" max="9493" width="1.6640625" style="56" customWidth="1"/>
    <col min="9494" max="9719" width="9.109375" style="56"/>
    <col min="9720" max="9720" width="40" style="56" customWidth="1"/>
    <col min="9721" max="9721" width="11.5546875" style="56" customWidth="1"/>
    <col min="9722" max="9722" width="24" style="56" customWidth="1"/>
    <col min="9723" max="9726" width="15.88671875" style="56" customWidth="1"/>
    <col min="9727" max="9727" width="1.6640625" style="56" customWidth="1"/>
    <col min="9728" max="9729" width="26" style="56" customWidth="1"/>
    <col min="9730" max="9730" width="1.6640625" style="56" customWidth="1"/>
    <col min="9731" max="9733" width="18.6640625" style="56" customWidth="1"/>
    <col min="9734" max="9734" width="1.6640625" style="56" customWidth="1"/>
    <col min="9735" max="9735" width="25.44140625" style="56" customWidth="1"/>
    <col min="9736" max="9736" width="20.6640625" style="56" customWidth="1"/>
    <col min="9737" max="9737" width="1.6640625" style="56" customWidth="1"/>
    <col min="9738" max="9739" width="25.44140625" style="56" customWidth="1"/>
    <col min="9740" max="9740" width="20.6640625" style="56" customWidth="1"/>
    <col min="9741" max="9741" width="1.6640625" style="56" customWidth="1"/>
    <col min="9742" max="9742" width="41.5546875" style="56" customWidth="1"/>
    <col min="9743" max="9743" width="11.5546875" style="56" customWidth="1"/>
    <col min="9744" max="9744" width="23" style="56" customWidth="1"/>
    <col min="9745" max="9748" width="18.6640625" style="56" customWidth="1"/>
    <col min="9749" max="9749" width="1.6640625" style="56" customWidth="1"/>
    <col min="9750" max="9975" width="9.109375" style="56"/>
    <col min="9976" max="9976" width="40" style="56" customWidth="1"/>
    <col min="9977" max="9977" width="11.5546875" style="56" customWidth="1"/>
    <col min="9978" max="9978" width="24" style="56" customWidth="1"/>
    <col min="9979" max="9982" width="15.88671875" style="56" customWidth="1"/>
    <col min="9983" max="9983" width="1.6640625" style="56" customWidth="1"/>
    <col min="9984" max="9985" width="26" style="56" customWidth="1"/>
    <col min="9986" max="9986" width="1.6640625" style="56" customWidth="1"/>
    <col min="9987" max="9989" width="18.6640625" style="56" customWidth="1"/>
    <col min="9990" max="9990" width="1.6640625" style="56" customWidth="1"/>
    <col min="9991" max="9991" width="25.44140625" style="56" customWidth="1"/>
    <col min="9992" max="9992" width="20.6640625" style="56" customWidth="1"/>
    <col min="9993" max="9993" width="1.6640625" style="56" customWidth="1"/>
    <col min="9994" max="9995" width="25.44140625" style="56" customWidth="1"/>
    <col min="9996" max="9996" width="20.6640625" style="56" customWidth="1"/>
    <col min="9997" max="9997" width="1.6640625" style="56" customWidth="1"/>
    <col min="9998" max="9998" width="41.5546875" style="56" customWidth="1"/>
    <col min="9999" max="9999" width="11.5546875" style="56" customWidth="1"/>
    <col min="10000" max="10000" width="23" style="56" customWidth="1"/>
    <col min="10001" max="10004" width="18.6640625" style="56" customWidth="1"/>
    <col min="10005" max="10005" width="1.6640625" style="56" customWidth="1"/>
    <col min="10006" max="10231" width="9.109375" style="56"/>
    <col min="10232" max="10232" width="40" style="56" customWidth="1"/>
    <col min="10233" max="10233" width="11.5546875" style="56" customWidth="1"/>
    <col min="10234" max="10234" width="24" style="56" customWidth="1"/>
    <col min="10235" max="10238" width="15.88671875" style="56" customWidth="1"/>
    <col min="10239" max="10239" width="1.6640625" style="56" customWidth="1"/>
    <col min="10240" max="10241" width="26" style="56" customWidth="1"/>
    <col min="10242" max="10242" width="1.6640625" style="56" customWidth="1"/>
    <col min="10243" max="10245" width="18.6640625" style="56" customWidth="1"/>
    <col min="10246" max="10246" width="1.6640625" style="56" customWidth="1"/>
    <col min="10247" max="10247" width="25.44140625" style="56" customWidth="1"/>
    <col min="10248" max="10248" width="20.6640625" style="56" customWidth="1"/>
    <col min="10249" max="10249" width="1.6640625" style="56" customWidth="1"/>
    <col min="10250" max="10251" width="25.44140625" style="56" customWidth="1"/>
    <col min="10252" max="10252" width="20.6640625" style="56" customWidth="1"/>
    <col min="10253" max="10253" width="1.6640625" style="56" customWidth="1"/>
    <col min="10254" max="10254" width="41.5546875" style="56" customWidth="1"/>
    <col min="10255" max="10255" width="11.5546875" style="56" customWidth="1"/>
    <col min="10256" max="10256" width="23" style="56" customWidth="1"/>
    <col min="10257" max="10260" width="18.6640625" style="56" customWidth="1"/>
    <col min="10261" max="10261" width="1.6640625" style="56" customWidth="1"/>
    <col min="10262" max="10487" width="9.109375" style="56"/>
    <col min="10488" max="10488" width="40" style="56" customWidth="1"/>
    <col min="10489" max="10489" width="11.5546875" style="56" customWidth="1"/>
    <col min="10490" max="10490" width="24" style="56" customWidth="1"/>
    <col min="10491" max="10494" width="15.88671875" style="56" customWidth="1"/>
    <col min="10495" max="10495" width="1.6640625" style="56" customWidth="1"/>
    <col min="10496" max="10497" width="26" style="56" customWidth="1"/>
    <col min="10498" max="10498" width="1.6640625" style="56" customWidth="1"/>
    <col min="10499" max="10501" width="18.6640625" style="56" customWidth="1"/>
    <col min="10502" max="10502" width="1.6640625" style="56" customWidth="1"/>
    <col min="10503" max="10503" width="25.44140625" style="56" customWidth="1"/>
    <col min="10504" max="10504" width="20.6640625" style="56" customWidth="1"/>
    <col min="10505" max="10505" width="1.6640625" style="56" customWidth="1"/>
    <col min="10506" max="10507" width="25.44140625" style="56" customWidth="1"/>
    <col min="10508" max="10508" width="20.6640625" style="56" customWidth="1"/>
    <col min="10509" max="10509" width="1.6640625" style="56" customWidth="1"/>
    <col min="10510" max="10510" width="41.5546875" style="56" customWidth="1"/>
    <col min="10511" max="10511" width="11.5546875" style="56" customWidth="1"/>
    <col min="10512" max="10512" width="23" style="56" customWidth="1"/>
    <col min="10513" max="10516" width="18.6640625" style="56" customWidth="1"/>
    <col min="10517" max="10517" width="1.6640625" style="56" customWidth="1"/>
    <col min="10518" max="10743" width="9.109375" style="56"/>
    <col min="10744" max="10744" width="40" style="56" customWidth="1"/>
    <col min="10745" max="10745" width="11.5546875" style="56" customWidth="1"/>
    <col min="10746" max="10746" width="24" style="56" customWidth="1"/>
    <col min="10747" max="10750" width="15.88671875" style="56" customWidth="1"/>
    <col min="10751" max="10751" width="1.6640625" style="56" customWidth="1"/>
    <col min="10752" max="10753" width="26" style="56" customWidth="1"/>
    <col min="10754" max="10754" width="1.6640625" style="56" customWidth="1"/>
    <col min="10755" max="10757" width="18.6640625" style="56" customWidth="1"/>
    <col min="10758" max="10758" width="1.6640625" style="56" customWidth="1"/>
    <col min="10759" max="10759" width="25.44140625" style="56" customWidth="1"/>
    <col min="10760" max="10760" width="20.6640625" style="56" customWidth="1"/>
    <col min="10761" max="10761" width="1.6640625" style="56" customWidth="1"/>
    <col min="10762" max="10763" width="25.44140625" style="56" customWidth="1"/>
    <col min="10764" max="10764" width="20.6640625" style="56" customWidth="1"/>
    <col min="10765" max="10765" width="1.6640625" style="56" customWidth="1"/>
    <col min="10766" max="10766" width="41.5546875" style="56" customWidth="1"/>
    <col min="10767" max="10767" width="11.5546875" style="56" customWidth="1"/>
    <col min="10768" max="10768" width="23" style="56" customWidth="1"/>
    <col min="10769" max="10772" width="18.6640625" style="56" customWidth="1"/>
    <col min="10773" max="10773" width="1.6640625" style="56" customWidth="1"/>
    <col min="10774" max="10999" width="9.109375" style="56"/>
    <col min="11000" max="11000" width="40" style="56" customWidth="1"/>
    <col min="11001" max="11001" width="11.5546875" style="56" customWidth="1"/>
    <col min="11002" max="11002" width="24" style="56" customWidth="1"/>
    <col min="11003" max="11006" width="15.88671875" style="56" customWidth="1"/>
    <col min="11007" max="11007" width="1.6640625" style="56" customWidth="1"/>
    <col min="11008" max="11009" width="26" style="56" customWidth="1"/>
    <col min="11010" max="11010" width="1.6640625" style="56" customWidth="1"/>
    <col min="11011" max="11013" width="18.6640625" style="56" customWidth="1"/>
    <col min="11014" max="11014" width="1.6640625" style="56" customWidth="1"/>
    <col min="11015" max="11015" width="25.44140625" style="56" customWidth="1"/>
    <col min="11016" max="11016" width="20.6640625" style="56" customWidth="1"/>
    <col min="11017" max="11017" width="1.6640625" style="56" customWidth="1"/>
    <col min="11018" max="11019" width="25.44140625" style="56" customWidth="1"/>
    <col min="11020" max="11020" width="20.6640625" style="56" customWidth="1"/>
    <col min="11021" max="11021" width="1.6640625" style="56" customWidth="1"/>
    <col min="11022" max="11022" width="41.5546875" style="56" customWidth="1"/>
    <col min="11023" max="11023" width="11.5546875" style="56" customWidth="1"/>
    <col min="11024" max="11024" width="23" style="56" customWidth="1"/>
    <col min="11025" max="11028" width="18.6640625" style="56" customWidth="1"/>
    <col min="11029" max="11029" width="1.6640625" style="56" customWidth="1"/>
    <col min="11030" max="11255" width="9.109375" style="56"/>
    <col min="11256" max="11256" width="40" style="56" customWidth="1"/>
    <col min="11257" max="11257" width="11.5546875" style="56" customWidth="1"/>
    <col min="11258" max="11258" width="24" style="56" customWidth="1"/>
    <col min="11259" max="11262" width="15.88671875" style="56" customWidth="1"/>
    <col min="11263" max="11263" width="1.6640625" style="56" customWidth="1"/>
    <col min="11264" max="11265" width="26" style="56" customWidth="1"/>
    <col min="11266" max="11266" width="1.6640625" style="56" customWidth="1"/>
    <col min="11267" max="11269" width="18.6640625" style="56" customWidth="1"/>
    <col min="11270" max="11270" width="1.6640625" style="56" customWidth="1"/>
    <col min="11271" max="11271" width="25.44140625" style="56" customWidth="1"/>
    <col min="11272" max="11272" width="20.6640625" style="56" customWidth="1"/>
    <col min="11273" max="11273" width="1.6640625" style="56" customWidth="1"/>
    <col min="11274" max="11275" width="25.44140625" style="56" customWidth="1"/>
    <col min="11276" max="11276" width="20.6640625" style="56" customWidth="1"/>
    <col min="11277" max="11277" width="1.6640625" style="56" customWidth="1"/>
    <col min="11278" max="11278" width="41.5546875" style="56" customWidth="1"/>
    <col min="11279" max="11279" width="11.5546875" style="56" customWidth="1"/>
    <col min="11280" max="11280" width="23" style="56" customWidth="1"/>
    <col min="11281" max="11284" width="18.6640625" style="56" customWidth="1"/>
    <col min="11285" max="11285" width="1.6640625" style="56" customWidth="1"/>
    <col min="11286" max="11511" width="9.109375" style="56"/>
    <col min="11512" max="11512" width="40" style="56" customWidth="1"/>
    <col min="11513" max="11513" width="11.5546875" style="56" customWidth="1"/>
    <col min="11514" max="11514" width="24" style="56" customWidth="1"/>
    <col min="11515" max="11518" width="15.88671875" style="56" customWidth="1"/>
    <col min="11519" max="11519" width="1.6640625" style="56" customWidth="1"/>
    <col min="11520" max="11521" width="26" style="56" customWidth="1"/>
    <col min="11522" max="11522" width="1.6640625" style="56" customWidth="1"/>
    <col min="11523" max="11525" width="18.6640625" style="56" customWidth="1"/>
    <col min="11526" max="11526" width="1.6640625" style="56" customWidth="1"/>
    <col min="11527" max="11527" width="25.44140625" style="56" customWidth="1"/>
    <col min="11528" max="11528" width="20.6640625" style="56" customWidth="1"/>
    <col min="11529" max="11529" width="1.6640625" style="56" customWidth="1"/>
    <col min="11530" max="11531" width="25.44140625" style="56" customWidth="1"/>
    <col min="11532" max="11532" width="20.6640625" style="56" customWidth="1"/>
    <col min="11533" max="11533" width="1.6640625" style="56" customWidth="1"/>
    <col min="11534" max="11534" width="41.5546875" style="56" customWidth="1"/>
    <col min="11535" max="11535" width="11.5546875" style="56" customWidth="1"/>
    <col min="11536" max="11536" width="23" style="56" customWidth="1"/>
    <col min="11537" max="11540" width="18.6640625" style="56" customWidth="1"/>
    <col min="11541" max="11541" width="1.6640625" style="56" customWidth="1"/>
    <col min="11542" max="11767" width="9.109375" style="56"/>
    <col min="11768" max="11768" width="40" style="56" customWidth="1"/>
    <col min="11769" max="11769" width="11.5546875" style="56" customWidth="1"/>
    <col min="11770" max="11770" width="24" style="56" customWidth="1"/>
    <col min="11771" max="11774" width="15.88671875" style="56" customWidth="1"/>
    <col min="11775" max="11775" width="1.6640625" style="56" customWidth="1"/>
    <col min="11776" max="11777" width="26" style="56" customWidth="1"/>
    <col min="11778" max="11778" width="1.6640625" style="56" customWidth="1"/>
    <col min="11779" max="11781" width="18.6640625" style="56" customWidth="1"/>
    <col min="11782" max="11782" width="1.6640625" style="56" customWidth="1"/>
    <col min="11783" max="11783" width="25.44140625" style="56" customWidth="1"/>
    <col min="11784" max="11784" width="20.6640625" style="56" customWidth="1"/>
    <col min="11785" max="11785" width="1.6640625" style="56" customWidth="1"/>
    <col min="11786" max="11787" width="25.44140625" style="56" customWidth="1"/>
    <col min="11788" max="11788" width="20.6640625" style="56" customWidth="1"/>
    <col min="11789" max="11789" width="1.6640625" style="56" customWidth="1"/>
    <col min="11790" max="11790" width="41.5546875" style="56" customWidth="1"/>
    <col min="11791" max="11791" width="11.5546875" style="56" customWidth="1"/>
    <col min="11792" max="11792" width="23" style="56" customWidth="1"/>
    <col min="11793" max="11796" width="18.6640625" style="56" customWidth="1"/>
    <col min="11797" max="11797" width="1.6640625" style="56" customWidth="1"/>
    <col min="11798" max="12023" width="9.109375" style="56"/>
    <col min="12024" max="12024" width="40" style="56" customWidth="1"/>
    <col min="12025" max="12025" width="11.5546875" style="56" customWidth="1"/>
    <col min="12026" max="12026" width="24" style="56" customWidth="1"/>
    <col min="12027" max="12030" width="15.88671875" style="56" customWidth="1"/>
    <col min="12031" max="12031" width="1.6640625" style="56" customWidth="1"/>
    <col min="12032" max="12033" width="26" style="56" customWidth="1"/>
    <col min="12034" max="12034" width="1.6640625" style="56" customWidth="1"/>
    <col min="12035" max="12037" width="18.6640625" style="56" customWidth="1"/>
    <col min="12038" max="12038" width="1.6640625" style="56" customWidth="1"/>
    <col min="12039" max="12039" width="25.44140625" style="56" customWidth="1"/>
    <col min="12040" max="12040" width="20.6640625" style="56" customWidth="1"/>
    <col min="12041" max="12041" width="1.6640625" style="56" customWidth="1"/>
    <col min="12042" max="12043" width="25.44140625" style="56" customWidth="1"/>
    <col min="12044" max="12044" width="20.6640625" style="56" customWidth="1"/>
    <col min="12045" max="12045" width="1.6640625" style="56" customWidth="1"/>
    <col min="12046" max="12046" width="41.5546875" style="56" customWidth="1"/>
    <col min="12047" max="12047" width="11.5546875" style="56" customWidth="1"/>
    <col min="12048" max="12048" width="23" style="56" customWidth="1"/>
    <col min="12049" max="12052" width="18.6640625" style="56" customWidth="1"/>
    <col min="12053" max="12053" width="1.6640625" style="56" customWidth="1"/>
    <col min="12054" max="12279" width="9.109375" style="56"/>
    <col min="12280" max="12280" width="40" style="56" customWidth="1"/>
    <col min="12281" max="12281" width="11.5546875" style="56" customWidth="1"/>
    <col min="12282" max="12282" width="24" style="56" customWidth="1"/>
    <col min="12283" max="12286" width="15.88671875" style="56" customWidth="1"/>
    <col min="12287" max="12287" width="1.6640625" style="56" customWidth="1"/>
    <col min="12288" max="12289" width="26" style="56" customWidth="1"/>
    <col min="12290" max="12290" width="1.6640625" style="56" customWidth="1"/>
    <col min="12291" max="12293" width="18.6640625" style="56" customWidth="1"/>
    <col min="12294" max="12294" width="1.6640625" style="56" customWidth="1"/>
    <col min="12295" max="12295" width="25.44140625" style="56" customWidth="1"/>
    <col min="12296" max="12296" width="20.6640625" style="56" customWidth="1"/>
    <col min="12297" max="12297" width="1.6640625" style="56" customWidth="1"/>
    <col min="12298" max="12299" width="25.44140625" style="56" customWidth="1"/>
    <col min="12300" max="12300" width="20.6640625" style="56" customWidth="1"/>
    <col min="12301" max="12301" width="1.6640625" style="56" customWidth="1"/>
    <col min="12302" max="12302" width="41.5546875" style="56" customWidth="1"/>
    <col min="12303" max="12303" width="11.5546875" style="56" customWidth="1"/>
    <col min="12304" max="12304" width="23" style="56" customWidth="1"/>
    <col min="12305" max="12308" width="18.6640625" style="56" customWidth="1"/>
    <col min="12309" max="12309" width="1.6640625" style="56" customWidth="1"/>
    <col min="12310" max="12535" width="9.109375" style="56"/>
    <col min="12536" max="12536" width="40" style="56" customWidth="1"/>
    <col min="12537" max="12537" width="11.5546875" style="56" customWidth="1"/>
    <col min="12538" max="12538" width="24" style="56" customWidth="1"/>
    <col min="12539" max="12542" width="15.88671875" style="56" customWidth="1"/>
    <col min="12543" max="12543" width="1.6640625" style="56" customWidth="1"/>
    <col min="12544" max="12545" width="26" style="56" customWidth="1"/>
    <col min="12546" max="12546" width="1.6640625" style="56" customWidth="1"/>
    <col min="12547" max="12549" width="18.6640625" style="56" customWidth="1"/>
    <col min="12550" max="12550" width="1.6640625" style="56" customWidth="1"/>
    <col min="12551" max="12551" width="25.44140625" style="56" customWidth="1"/>
    <col min="12552" max="12552" width="20.6640625" style="56" customWidth="1"/>
    <col min="12553" max="12553" width="1.6640625" style="56" customWidth="1"/>
    <col min="12554" max="12555" width="25.44140625" style="56" customWidth="1"/>
    <col min="12556" max="12556" width="20.6640625" style="56" customWidth="1"/>
    <col min="12557" max="12557" width="1.6640625" style="56" customWidth="1"/>
    <col min="12558" max="12558" width="41.5546875" style="56" customWidth="1"/>
    <col min="12559" max="12559" width="11.5546875" style="56" customWidth="1"/>
    <col min="12560" max="12560" width="23" style="56" customWidth="1"/>
    <col min="12561" max="12564" width="18.6640625" style="56" customWidth="1"/>
    <col min="12565" max="12565" width="1.6640625" style="56" customWidth="1"/>
    <col min="12566" max="12791" width="9.109375" style="56"/>
    <col min="12792" max="12792" width="40" style="56" customWidth="1"/>
    <col min="12793" max="12793" width="11.5546875" style="56" customWidth="1"/>
    <col min="12794" max="12794" width="24" style="56" customWidth="1"/>
    <col min="12795" max="12798" width="15.88671875" style="56" customWidth="1"/>
    <col min="12799" max="12799" width="1.6640625" style="56" customWidth="1"/>
    <col min="12800" max="12801" width="26" style="56" customWidth="1"/>
    <col min="12802" max="12802" width="1.6640625" style="56" customWidth="1"/>
    <col min="12803" max="12805" width="18.6640625" style="56" customWidth="1"/>
    <col min="12806" max="12806" width="1.6640625" style="56" customWidth="1"/>
    <col min="12807" max="12807" width="25.44140625" style="56" customWidth="1"/>
    <col min="12808" max="12808" width="20.6640625" style="56" customWidth="1"/>
    <col min="12809" max="12809" width="1.6640625" style="56" customWidth="1"/>
    <col min="12810" max="12811" width="25.44140625" style="56" customWidth="1"/>
    <col min="12812" max="12812" width="20.6640625" style="56" customWidth="1"/>
    <col min="12813" max="12813" width="1.6640625" style="56" customWidth="1"/>
    <col min="12814" max="12814" width="41.5546875" style="56" customWidth="1"/>
    <col min="12815" max="12815" width="11.5546875" style="56" customWidth="1"/>
    <col min="12816" max="12816" width="23" style="56" customWidth="1"/>
    <col min="12817" max="12820" width="18.6640625" style="56" customWidth="1"/>
    <col min="12821" max="12821" width="1.6640625" style="56" customWidth="1"/>
    <col min="12822" max="13047" width="9.109375" style="56"/>
    <col min="13048" max="13048" width="40" style="56" customWidth="1"/>
    <col min="13049" max="13049" width="11.5546875" style="56" customWidth="1"/>
    <col min="13050" max="13050" width="24" style="56" customWidth="1"/>
    <col min="13051" max="13054" width="15.88671875" style="56" customWidth="1"/>
    <col min="13055" max="13055" width="1.6640625" style="56" customWidth="1"/>
    <col min="13056" max="13057" width="26" style="56" customWidth="1"/>
    <col min="13058" max="13058" width="1.6640625" style="56" customWidth="1"/>
    <col min="13059" max="13061" width="18.6640625" style="56" customWidth="1"/>
    <col min="13062" max="13062" width="1.6640625" style="56" customWidth="1"/>
    <col min="13063" max="13063" width="25.44140625" style="56" customWidth="1"/>
    <col min="13064" max="13064" width="20.6640625" style="56" customWidth="1"/>
    <col min="13065" max="13065" width="1.6640625" style="56" customWidth="1"/>
    <col min="13066" max="13067" width="25.44140625" style="56" customWidth="1"/>
    <col min="13068" max="13068" width="20.6640625" style="56" customWidth="1"/>
    <col min="13069" max="13069" width="1.6640625" style="56" customWidth="1"/>
    <col min="13070" max="13070" width="41.5546875" style="56" customWidth="1"/>
    <col min="13071" max="13071" width="11.5546875" style="56" customWidth="1"/>
    <col min="13072" max="13072" width="23" style="56" customWidth="1"/>
    <col min="13073" max="13076" width="18.6640625" style="56" customWidth="1"/>
    <col min="13077" max="13077" width="1.6640625" style="56" customWidth="1"/>
    <col min="13078" max="13303" width="9.109375" style="56"/>
    <col min="13304" max="13304" width="40" style="56" customWidth="1"/>
    <col min="13305" max="13305" width="11.5546875" style="56" customWidth="1"/>
    <col min="13306" max="13306" width="24" style="56" customWidth="1"/>
    <col min="13307" max="13310" width="15.88671875" style="56" customWidth="1"/>
    <col min="13311" max="13311" width="1.6640625" style="56" customWidth="1"/>
    <col min="13312" max="13313" width="26" style="56" customWidth="1"/>
    <col min="13314" max="13314" width="1.6640625" style="56" customWidth="1"/>
    <col min="13315" max="13317" width="18.6640625" style="56" customWidth="1"/>
    <col min="13318" max="13318" width="1.6640625" style="56" customWidth="1"/>
    <col min="13319" max="13319" width="25.44140625" style="56" customWidth="1"/>
    <col min="13320" max="13320" width="20.6640625" style="56" customWidth="1"/>
    <col min="13321" max="13321" width="1.6640625" style="56" customWidth="1"/>
    <col min="13322" max="13323" width="25.44140625" style="56" customWidth="1"/>
    <col min="13324" max="13324" width="20.6640625" style="56" customWidth="1"/>
    <col min="13325" max="13325" width="1.6640625" style="56" customWidth="1"/>
    <col min="13326" max="13326" width="41.5546875" style="56" customWidth="1"/>
    <col min="13327" max="13327" width="11.5546875" style="56" customWidth="1"/>
    <col min="13328" max="13328" width="23" style="56" customWidth="1"/>
    <col min="13329" max="13332" width="18.6640625" style="56" customWidth="1"/>
    <col min="13333" max="13333" width="1.6640625" style="56" customWidth="1"/>
    <col min="13334" max="13559" width="9.109375" style="56"/>
    <col min="13560" max="13560" width="40" style="56" customWidth="1"/>
    <col min="13561" max="13561" width="11.5546875" style="56" customWidth="1"/>
    <col min="13562" max="13562" width="24" style="56" customWidth="1"/>
    <col min="13563" max="13566" width="15.88671875" style="56" customWidth="1"/>
    <col min="13567" max="13567" width="1.6640625" style="56" customWidth="1"/>
    <col min="13568" max="13569" width="26" style="56" customWidth="1"/>
    <col min="13570" max="13570" width="1.6640625" style="56" customWidth="1"/>
    <col min="13571" max="13573" width="18.6640625" style="56" customWidth="1"/>
    <col min="13574" max="13574" width="1.6640625" style="56" customWidth="1"/>
    <col min="13575" max="13575" width="25.44140625" style="56" customWidth="1"/>
    <col min="13576" max="13576" width="20.6640625" style="56" customWidth="1"/>
    <col min="13577" max="13577" width="1.6640625" style="56" customWidth="1"/>
    <col min="13578" max="13579" width="25.44140625" style="56" customWidth="1"/>
    <col min="13580" max="13580" width="20.6640625" style="56" customWidth="1"/>
    <col min="13581" max="13581" width="1.6640625" style="56" customWidth="1"/>
    <col min="13582" max="13582" width="41.5546875" style="56" customWidth="1"/>
    <col min="13583" max="13583" width="11.5546875" style="56" customWidth="1"/>
    <col min="13584" max="13584" width="23" style="56" customWidth="1"/>
    <col min="13585" max="13588" width="18.6640625" style="56" customWidth="1"/>
    <col min="13589" max="13589" width="1.6640625" style="56" customWidth="1"/>
    <col min="13590" max="13815" width="9.109375" style="56"/>
    <col min="13816" max="13816" width="40" style="56" customWidth="1"/>
    <col min="13817" max="13817" width="11.5546875" style="56" customWidth="1"/>
    <col min="13818" max="13818" width="24" style="56" customWidth="1"/>
    <col min="13819" max="13822" width="15.88671875" style="56" customWidth="1"/>
    <col min="13823" max="13823" width="1.6640625" style="56" customWidth="1"/>
    <col min="13824" max="13825" width="26" style="56" customWidth="1"/>
    <col min="13826" max="13826" width="1.6640625" style="56" customWidth="1"/>
    <col min="13827" max="13829" width="18.6640625" style="56" customWidth="1"/>
    <col min="13830" max="13830" width="1.6640625" style="56" customWidth="1"/>
    <col min="13831" max="13831" width="25.44140625" style="56" customWidth="1"/>
    <col min="13832" max="13832" width="20.6640625" style="56" customWidth="1"/>
    <col min="13833" max="13833" width="1.6640625" style="56" customWidth="1"/>
    <col min="13834" max="13835" width="25.44140625" style="56" customWidth="1"/>
    <col min="13836" max="13836" width="20.6640625" style="56" customWidth="1"/>
    <col min="13837" max="13837" width="1.6640625" style="56" customWidth="1"/>
    <col min="13838" max="13838" width="41.5546875" style="56" customWidth="1"/>
    <col min="13839" max="13839" width="11.5546875" style="56" customWidth="1"/>
    <col min="13840" max="13840" width="23" style="56" customWidth="1"/>
    <col min="13841" max="13844" width="18.6640625" style="56" customWidth="1"/>
    <col min="13845" max="13845" width="1.6640625" style="56" customWidth="1"/>
    <col min="13846" max="14071" width="9.109375" style="56"/>
    <col min="14072" max="14072" width="40" style="56" customWidth="1"/>
    <col min="14073" max="14073" width="11.5546875" style="56" customWidth="1"/>
    <col min="14074" max="14074" width="24" style="56" customWidth="1"/>
    <col min="14075" max="14078" width="15.88671875" style="56" customWidth="1"/>
    <col min="14079" max="14079" width="1.6640625" style="56" customWidth="1"/>
    <col min="14080" max="14081" width="26" style="56" customWidth="1"/>
    <col min="14082" max="14082" width="1.6640625" style="56" customWidth="1"/>
    <col min="14083" max="14085" width="18.6640625" style="56" customWidth="1"/>
    <col min="14086" max="14086" width="1.6640625" style="56" customWidth="1"/>
    <col min="14087" max="14087" width="25.44140625" style="56" customWidth="1"/>
    <col min="14088" max="14088" width="20.6640625" style="56" customWidth="1"/>
    <col min="14089" max="14089" width="1.6640625" style="56" customWidth="1"/>
    <col min="14090" max="14091" width="25.44140625" style="56" customWidth="1"/>
    <col min="14092" max="14092" width="20.6640625" style="56" customWidth="1"/>
    <col min="14093" max="14093" width="1.6640625" style="56" customWidth="1"/>
    <col min="14094" max="14094" width="41.5546875" style="56" customWidth="1"/>
    <col min="14095" max="14095" width="11.5546875" style="56" customWidth="1"/>
    <col min="14096" max="14096" width="23" style="56" customWidth="1"/>
    <col min="14097" max="14100" width="18.6640625" style="56" customWidth="1"/>
    <col min="14101" max="14101" width="1.6640625" style="56" customWidth="1"/>
    <col min="14102" max="14327" width="9.109375" style="56"/>
    <col min="14328" max="14328" width="40" style="56" customWidth="1"/>
    <col min="14329" max="14329" width="11.5546875" style="56" customWidth="1"/>
    <col min="14330" max="14330" width="24" style="56" customWidth="1"/>
    <col min="14331" max="14334" width="15.88671875" style="56" customWidth="1"/>
    <col min="14335" max="14335" width="1.6640625" style="56" customWidth="1"/>
    <col min="14336" max="14337" width="26" style="56" customWidth="1"/>
    <col min="14338" max="14338" width="1.6640625" style="56" customWidth="1"/>
    <col min="14339" max="14341" width="18.6640625" style="56" customWidth="1"/>
    <col min="14342" max="14342" width="1.6640625" style="56" customWidth="1"/>
    <col min="14343" max="14343" width="25.44140625" style="56" customWidth="1"/>
    <col min="14344" max="14344" width="20.6640625" style="56" customWidth="1"/>
    <col min="14345" max="14345" width="1.6640625" style="56" customWidth="1"/>
    <col min="14346" max="14347" width="25.44140625" style="56" customWidth="1"/>
    <col min="14348" max="14348" width="20.6640625" style="56" customWidth="1"/>
    <col min="14349" max="14349" width="1.6640625" style="56" customWidth="1"/>
    <col min="14350" max="14350" width="41.5546875" style="56" customWidth="1"/>
    <col min="14351" max="14351" width="11.5546875" style="56" customWidth="1"/>
    <col min="14352" max="14352" width="23" style="56" customWidth="1"/>
    <col min="14353" max="14356" width="18.6640625" style="56" customWidth="1"/>
    <col min="14357" max="14357" width="1.6640625" style="56" customWidth="1"/>
    <col min="14358" max="14583" width="9.109375" style="56"/>
    <col min="14584" max="14584" width="40" style="56" customWidth="1"/>
    <col min="14585" max="14585" width="11.5546875" style="56" customWidth="1"/>
    <col min="14586" max="14586" width="24" style="56" customWidth="1"/>
    <col min="14587" max="14590" width="15.88671875" style="56" customWidth="1"/>
    <col min="14591" max="14591" width="1.6640625" style="56" customWidth="1"/>
    <col min="14592" max="14593" width="26" style="56" customWidth="1"/>
    <col min="14594" max="14594" width="1.6640625" style="56" customWidth="1"/>
    <col min="14595" max="14597" width="18.6640625" style="56" customWidth="1"/>
    <col min="14598" max="14598" width="1.6640625" style="56" customWidth="1"/>
    <col min="14599" max="14599" width="25.44140625" style="56" customWidth="1"/>
    <col min="14600" max="14600" width="20.6640625" style="56" customWidth="1"/>
    <col min="14601" max="14601" width="1.6640625" style="56" customWidth="1"/>
    <col min="14602" max="14603" width="25.44140625" style="56" customWidth="1"/>
    <col min="14604" max="14604" width="20.6640625" style="56" customWidth="1"/>
    <col min="14605" max="14605" width="1.6640625" style="56" customWidth="1"/>
    <col min="14606" max="14606" width="41.5546875" style="56" customWidth="1"/>
    <col min="14607" max="14607" width="11.5546875" style="56" customWidth="1"/>
    <col min="14608" max="14608" width="23" style="56" customWidth="1"/>
    <col min="14609" max="14612" width="18.6640625" style="56" customWidth="1"/>
    <col min="14613" max="14613" width="1.6640625" style="56" customWidth="1"/>
    <col min="14614" max="14839" width="9.109375" style="56"/>
    <col min="14840" max="14840" width="40" style="56" customWidth="1"/>
    <col min="14841" max="14841" width="11.5546875" style="56" customWidth="1"/>
    <col min="14842" max="14842" width="24" style="56" customWidth="1"/>
    <col min="14843" max="14846" width="15.88671875" style="56" customWidth="1"/>
    <col min="14847" max="14847" width="1.6640625" style="56" customWidth="1"/>
    <col min="14848" max="14849" width="26" style="56" customWidth="1"/>
    <col min="14850" max="14850" width="1.6640625" style="56" customWidth="1"/>
    <col min="14851" max="14853" width="18.6640625" style="56" customWidth="1"/>
    <col min="14854" max="14854" width="1.6640625" style="56" customWidth="1"/>
    <col min="14855" max="14855" width="25.44140625" style="56" customWidth="1"/>
    <col min="14856" max="14856" width="20.6640625" style="56" customWidth="1"/>
    <col min="14857" max="14857" width="1.6640625" style="56" customWidth="1"/>
    <col min="14858" max="14859" width="25.44140625" style="56" customWidth="1"/>
    <col min="14860" max="14860" width="20.6640625" style="56" customWidth="1"/>
    <col min="14861" max="14861" width="1.6640625" style="56" customWidth="1"/>
    <col min="14862" max="14862" width="41.5546875" style="56" customWidth="1"/>
    <col min="14863" max="14863" width="11.5546875" style="56" customWidth="1"/>
    <col min="14864" max="14864" width="23" style="56" customWidth="1"/>
    <col min="14865" max="14868" width="18.6640625" style="56" customWidth="1"/>
    <col min="14869" max="14869" width="1.6640625" style="56" customWidth="1"/>
    <col min="14870" max="15095" width="9.109375" style="56"/>
    <col min="15096" max="15096" width="40" style="56" customWidth="1"/>
    <col min="15097" max="15097" width="11.5546875" style="56" customWidth="1"/>
    <col min="15098" max="15098" width="24" style="56" customWidth="1"/>
    <col min="15099" max="15102" width="15.88671875" style="56" customWidth="1"/>
    <col min="15103" max="15103" width="1.6640625" style="56" customWidth="1"/>
    <col min="15104" max="15105" width="26" style="56" customWidth="1"/>
    <col min="15106" max="15106" width="1.6640625" style="56" customWidth="1"/>
    <col min="15107" max="15109" width="18.6640625" style="56" customWidth="1"/>
    <col min="15110" max="15110" width="1.6640625" style="56" customWidth="1"/>
    <col min="15111" max="15111" width="25.44140625" style="56" customWidth="1"/>
    <col min="15112" max="15112" width="20.6640625" style="56" customWidth="1"/>
    <col min="15113" max="15113" width="1.6640625" style="56" customWidth="1"/>
    <col min="15114" max="15115" width="25.44140625" style="56" customWidth="1"/>
    <col min="15116" max="15116" width="20.6640625" style="56" customWidth="1"/>
    <col min="15117" max="15117" width="1.6640625" style="56" customWidth="1"/>
    <col min="15118" max="15118" width="41.5546875" style="56" customWidth="1"/>
    <col min="15119" max="15119" width="11.5546875" style="56" customWidth="1"/>
    <col min="15120" max="15120" width="23" style="56" customWidth="1"/>
    <col min="15121" max="15124" width="18.6640625" style="56" customWidth="1"/>
    <col min="15125" max="15125" width="1.6640625" style="56" customWidth="1"/>
    <col min="15126" max="15351" width="9.109375" style="56"/>
    <col min="15352" max="15352" width="40" style="56" customWidth="1"/>
    <col min="15353" max="15353" width="11.5546875" style="56" customWidth="1"/>
    <col min="15354" max="15354" width="24" style="56" customWidth="1"/>
    <col min="15355" max="15358" width="15.88671875" style="56" customWidth="1"/>
    <col min="15359" max="15359" width="1.6640625" style="56" customWidth="1"/>
    <col min="15360" max="15361" width="26" style="56" customWidth="1"/>
    <col min="15362" max="15362" width="1.6640625" style="56" customWidth="1"/>
    <col min="15363" max="15365" width="18.6640625" style="56" customWidth="1"/>
    <col min="15366" max="15366" width="1.6640625" style="56" customWidth="1"/>
    <col min="15367" max="15367" width="25.44140625" style="56" customWidth="1"/>
    <col min="15368" max="15368" width="20.6640625" style="56" customWidth="1"/>
    <col min="15369" max="15369" width="1.6640625" style="56" customWidth="1"/>
    <col min="15370" max="15371" width="25.44140625" style="56" customWidth="1"/>
    <col min="15372" max="15372" width="20.6640625" style="56" customWidth="1"/>
    <col min="15373" max="15373" width="1.6640625" style="56" customWidth="1"/>
    <col min="15374" max="15374" width="41.5546875" style="56" customWidth="1"/>
    <col min="15375" max="15375" width="11.5546875" style="56" customWidth="1"/>
    <col min="15376" max="15376" width="23" style="56" customWidth="1"/>
    <col min="15377" max="15380" width="18.6640625" style="56" customWidth="1"/>
    <col min="15381" max="15381" width="1.6640625" style="56" customWidth="1"/>
    <col min="15382" max="15607" width="9.109375" style="56"/>
    <col min="15608" max="15608" width="40" style="56" customWidth="1"/>
    <col min="15609" max="15609" width="11.5546875" style="56" customWidth="1"/>
    <col min="15610" max="15610" width="24" style="56" customWidth="1"/>
    <col min="15611" max="15614" width="15.88671875" style="56" customWidth="1"/>
    <col min="15615" max="15615" width="1.6640625" style="56" customWidth="1"/>
    <col min="15616" max="15617" width="26" style="56" customWidth="1"/>
    <col min="15618" max="15618" width="1.6640625" style="56" customWidth="1"/>
    <col min="15619" max="15621" width="18.6640625" style="56" customWidth="1"/>
    <col min="15622" max="15622" width="1.6640625" style="56" customWidth="1"/>
    <col min="15623" max="15623" width="25.44140625" style="56" customWidth="1"/>
    <col min="15624" max="15624" width="20.6640625" style="56" customWidth="1"/>
    <col min="15625" max="15625" width="1.6640625" style="56" customWidth="1"/>
    <col min="15626" max="15627" width="25.44140625" style="56" customWidth="1"/>
    <col min="15628" max="15628" width="20.6640625" style="56" customWidth="1"/>
    <col min="15629" max="15629" width="1.6640625" style="56" customWidth="1"/>
    <col min="15630" max="15630" width="41.5546875" style="56" customWidth="1"/>
    <col min="15631" max="15631" width="11.5546875" style="56" customWidth="1"/>
    <col min="15632" max="15632" width="23" style="56" customWidth="1"/>
    <col min="15633" max="15636" width="18.6640625" style="56" customWidth="1"/>
    <col min="15637" max="15637" width="1.6640625" style="56" customWidth="1"/>
    <col min="15638" max="15863" width="9.109375" style="56"/>
    <col min="15864" max="15864" width="40" style="56" customWidth="1"/>
    <col min="15865" max="15865" width="11.5546875" style="56" customWidth="1"/>
    <col min="15866" max="15866" width="24" style="56" customWidth="1"/>
    <col min="15867" max="15870" width="15.88671875" style="56" customWidth="1"/>
    <col min="15871" max="15871" width="1.6640625" style="56" customWidth="1"/>
    <col min="15872" max="15873" width="26" style="56" customWidth="1"/>
    <col min="15874" max="15874" width="1.6640625" style="56" customWidth="1"/>
    <col min="15875" max="15877" width="18.6640625" style="56" customWidth="1"/>
    <col min="15878" max="15878" width="1.6640625" style="56" customWidth="1"/>
    <col min="15879" max="15879" width="25.44140625" style="56" customWidth="1"/>
    <col min="15880" max="15880" width="20.6640625" style="56" customWidth="1"/>
    <col min="15881" max="15881" width="1.6640625" style="56" customWidth="1"/>
    <col min="15882" max="15883" width="25.44140625" style="56" customWidth="1"/>
    <col min="15884" max="15884" width="20.6640625" style="56" customWidth="1"/>
    <col min="15885" max="15885" width="1.6640625" style="56" customWidth="1"/>
    <col min="15886" max="15886" width="41.5546875" style="56" customWidth="1"/>
    <col min="15887" max="15887" width="11.5546875" style="56" customWidth="1"/>
    <col min="15888" max="15888" width="23" style="56" customWidth="1"/>
    <col min="15889" max="15892" width="18.6640625" style="56" customWidth="1"/>
    <col min="15893" max="15893" width="1.6640625" style="56" customWidth="1"/>
    <col min="15894" max="16119" width="9.109375" style="56"/>
    <col min="16120" max="16120" width="40" style="56" customWidth="1"/>
    <col min="16121" max="16121" width="11.5546875" style="56" customWidth="1"/>
    <col min="16122" max="16122" width="24" style="56" customWidth="1"/>
    <col min="16123" max="16126" width="15.88671875" style="56" customWidth="1"/>
    <col min="16127" max="16127" width="1.6640625" style="56" customWidth="1"/>
    <col min="16128" max="16129" width="26" style="56" customWidth="1"/>
    <col min="16130" max="16130" width="1.6640625" style="56" customWidth="1"/>
    <col min="16131" max="16133" width="18.6640625" style="56" customWidth="1"/>
    <col min="16134" max="16134" width="1.6640625" style="56" customWidth="1"/>
    <col min="16135" max="16135" width="25.44140625" style="56" customWidth="1"/>
    <col min="16136" max="16136" width="20.6640625" style="56" customWidth="1"/>
    <col min="16137" max="16137" width="1.6640625" style="56" customWidth="1"/>
    <col min="16138" max="16139" width="25.44140625" style="56" customWidth="1"/>
    <col min="16140" max="16140" width="20.6640625" style="56" customWidth="1"/>
    <col min="16141" max="16141" width="1.6640625" style="56" customWidth="1"/>
    <col min="16142" max="16142" width="41.5546875" style="56" customWidth="1"/>
    <col min="16143" max="16143" width="11.5546875" style="56" customWidth="1"/>
    <col min="16144" max="16144" width="23" style="56" customWidth="1"/>
    <col min="16145" max="16148" width="18.6640625" style="56" customWidth="1"/>
    <col min="16149" max="16149" width="1.6640625" style="56" customWidth="1"/>
    <col min="16150" max="16384" width="9.109375" style="56"/>
  </cols>
  <sheetData>
    <row r="1" spans="2:21" s="53" customFormat="1" ht="81.75" customHeight="1" x14ac:dyDescent="0.3">
      <c r="B1" s="241" t="s">
        <v>168</v>
      </c>
      <c r="C1" s="242"/>
      <c r="D1" s="242"/>
      <c r="E1" s="242"/>
      <c r="F1" s="242"/>
      <c r="G1" s="242"/>
      <c r="H1" s="242"/>
      <c r="I1" s="242"/>
      <c r="J1" s="242"/>
      <c r="K1" s="242"/>
      <c r="L1" s="242"/>
      <c r="M1" s="242"/>
      <c r="N1" s="242"/>
      <c r="O1" s="242"/>
      <c r="P1" s="242"/>
      <c r="Q1" s="242"/>
      <c r="R1" s="242"/>
      <c r="S1" s="242"/>
      <c r="T1" s="242"/>
      <c r="U1" s="242"/>
    </row>
    <row r="2" spans="2:21" ht="33" customHeight="1" x14ac:dyDescent="0.25">
      <c r="B2" s="54" t="s">
        <v>169</v>
      </c>
      <c r="C2" s="98" t="s">
        <v>170</v>
      </c>
      <c r="D2" s="97"/>
      <c r="E2" s="97"/>
      <c r="F2" s="97"/>
      <c r="G2" s="97"/>
      <c r="H2" s="97"/>
      <c r="I2" s="97"/>
      <c r="J2" s="97"/>
      <c r="K2" s="55"/>
      <c r="L2" s="55"/>
      <c r="M2" s="55"/>
      <c r="N2" s="55"/>
      <c r="O2" s="55"/>
      <c r="P2" s="55"/>
      <c r="Q2" s="55"/>
      <c r="R2" s="55"/>
      <c r="S2" s="55"/>
      <c r="T2" s="55"/>
      <c r="U2" s="55"/>
    </row>
    <row r="3" spans="2:21" ht="33" customHeight="1" x14ac:dyDescent="0.25">
      <c r="B3" s="54" t="s">
        <v>171</v>
      </c>
      <c r="C3" s="98" t="s">
        <v>172</v>
      </c>
      <c r="D3" s="97"/>
      <c r="E3" s="97"/>
      <c r="F3" s="97"/>
      <c r="G3" s="97"/>
      <c r="H3" s="97"/>
      <c r="I3" s="97"/>
      <c r="J3" s="97"/>
      <c r="K3" s="55"/>
      <c r="L3" s="55"/>
      <c r="M3" s="55"/>
      <c r="N3" s="57"/>
      <c r="O3" s="57"/>
      <c r="P3" s="57"/>
      <c r="Q3" s="57"/>
      <c r="R3" s="57"/>
      <c r="S3" s="57"/>
      <c r="T3" s="57"/>
      <c r="U3" s="57"/>
    </row>
    <row r="4" spans="2:21" s="3" customFormat="1" ht="19.5" customHeight="1" x14ac:dyDescent="0.3">
      <c r="B4" s="243" t="s">
        <v>173</v>
      </c>
      <c r="C4" s="243"/>
      <c r="D4" s="243"/>
      <c r="E4" s="243"/>
      <c r="F4" s="243"/>
      <c r="G4" s="243"/>
      <c r="I4" s="243" t="s">
        <v>174</v>
      </c>
      <c r="J4" s="243"/>
      <c r="L4" s="243" t="s">
        <v>175</v>
      </c>
      <c r="M4" s="243"/>
      <c r="N4" s="243"/>
      <c r="P4" s="243" t="s">
        <v>176</v>
      </c>
      <c r="Q4" s="243"/>
      <c r="S4" s="243" t="s">
        <v>177</v>
      </c>
      <c r="T4" s="243"/>
      <c r="U4" s="243"/>
    </row>
    <row r="5" spans="2:21" s="58" customFormat="1" ht="157.5" customHeight="1" x14ac:dyDescent="0.3">
      <c r="B5" s="247" t="s">
        <v>178</v>
      </c>
      <c r="C5" s="248"/>
      <c r="D5" s="248"/>
      <c r="E5" s="248"/>
      <c r="F5" s="248"/>
      <c r="G5" s="249"/>
      <c r="I5" s="247" t="s">
        <v>179</v>
      </c>
      <c r="J5" s="249"/>
      <c r="L5" s="247" t="s">
        <v>180</v>
      </c>
      <c r="M5" s="248"/>
      <c r="N5" s="249"/>
      <c r="P5" s="247" t="s">
        <v>181</v>
      </c>
      <c r="Q5" s="249"/>
      <c r="S5" s="247" t="s">
        <v>182</v>
      </c>
      <c r="T5" s="248"/>
      <c r="U5" s="249"/>
    </row>
    <row r="6" spans="2:21" s="59" customFormat="1" ht="80.25" customHeight="1" x14ac:dyDescent="0.3">
      <c r="B6" s="250"/>
      <c r="C6" s="251"/>
      <c r="D6" s="251"/>
      <c r="E6" s="251"/>
      <c r="F6" s="251"/>
      <c r="G6" s="252"/>
      <c r="I6" s="250"/>
      <c r="J6" s="252"/>
      <c r="L6" s="250"/>
      <c r="M6" s="251"/>
      <c r="N6" s="252"/>
      <c r="P6" s="250"/>
      <c r="Q6" s="252"/>
      <c r="S6" s="250"/>
      <c r="T6" s="251"/>
      <c r="U6" s="252"/>
    </row>
    <row r="7" spans="2:21" ht="82.5" customHeight="1" x14ac:dyDescent="0.25">
      <c r="B7" s="60" t="s">
        <v>20</v>
      </c>
      <c r="C7" s="60" t="s">
        <v>21</v>
      </c>
      <c r="D7" s="60" t="s">
        <v>110</v>
      </c>
      <c r="E7" s="61" t="s">
        <v>111</v>
      </c>
      <c r="F7" s="61" t="s">
        <v>112</v>
      </c>
      <c r="G7" s="61" t="s">
        <v>113</v>
      </c>
      <c r="I7" s="61" t="s">
        <v>183</v>
      </c>
      <c r="J7" s="61" t="s">
        <v>184</v>
      </c>
      <c r="L7" s="61" t="s">
        <v>185</v>
      </c>
      <c r="M7" s="61" t="s">
        <v>186</v>
      </c>
      <c r="N7" s="61" t="s">
        <v>187</v>
      </c>
      <c r="P7" s="244" t="s">
        <v>188</v>
      </c>
      <c r="Q7" s="245"/>
      <c r="S7" s="244" t="s">
        <v>189</v>
      </c>
      <c r="T7" s="246"/>
      <c r="U7" s="245"/>
    </row>
    <row r="8" spans="2:21" ht="15" customHeight="1" x14ac:dyDescent="0.25">
      <c r="B8" s="62" t="s">
        <v>190</v>
      </c>
      <c r="C8" s="62" t="s">
        <v>164</v>
      </c>
      <c r="D8" s="63">
        <v>294</v>
      </c>
      <c r="E8" s="63">
        <v>241</v>
      </c>
      <c r="F8" s="63">
        <v>190</v>
      </c>
      <c r="G8" s="63">
        <v>157</v>
      </c>
      <c r="I8" s="64" t="s">
        <v>191</v>
      </c>
      <c r="J8" s="64">
        <v>0</v>
      </c>
      <c r="L8" s="65">
        <v>1</v>
      </c>
      <c r="M8" s="63">
        <f>L8*55</f>
        <v>55</v>
      </c>
      <c r="N8" s="63">
        <f>L8*120</f>
        <v>120</v>
      </c>
      <c r="Q8" s="66"/>
      <c r="U8" s="66"/>
    </row>
    <row r="9" spans="2:21" ht="15" customHeight="1" x14ac:dyDescent="0.25">
      <c r="B9" s="62" t="s">
        <v>192</v>
      </c>
      <c r="C9" s="62" t="s">
        <v>164</v>
      </c>
      <c r="D9" s="63">
        <v>280</v>
      </c>
      <c r="E9" s="63">
        <v>214</v>
      </c>
      <c r="F9" s="63">
        <v>162</v>
      </c>
      <c r="G9" s="63">
        <v>131</v>
      </c>
      <c r="I9" s="64" t="s">
        <v>193</v>
      </c>
      <c r="J9" s="64">
        <v>20</v>
      </c>
      <c r="L9" s="65">
        <v>2</v>
      </c>
      <c r="M9" s="63">
        <f t="shared" ref="M9:M21" si="0">L9*55</f>
        <v>110</v>
      </c>
      <c r="N9" s="63">
        <f t="shared" ref="N9:N21" si="1">L9*120</f>
        <v>240</v>
      </c>
      <c r="P9" s="67" t="s">
        <v>194</v>
      </c>
      <c r="Q9" s="66"/>
      <c r="U9" s="66"/>
    </row>
    <row r="10" spans="2:21" x14ac:dyDescent="0.25">
      <c r="B10" s="62" t="s">
        <v>56</v>
      </c>
      <c r="C10" s="62" t="s">
        <v>164</v>
      </c>
      <c r="D10" s="63">
        <v>88</v>
      </c>
      <c r="E10" s="63">
        <v>74</v>
      </c>
      <c r="F10" s="63">
        <v>55</v>
      </c>
      <c r="G10" s="63">
        <v>39</v>
      </c>
      <c r="I10" s="64" t="s">
        <v>195</v>
      </c>
      <c r="J10" s="64">
        <v>180</v>
      </c>
      <c r="L10" s="65">
        <v>3</v>
      </c>
      <c r="M10" s="63">
        <f t="shared" si="0"/>
        <v>165</v>
      </c>
      <c r="N10" s="63">
        <f t="shared" si="1"/>
        <v>360</v>
      </c>
      <c r="P10" s="68" t="s">
        <v>123</v>
      </c>
    </row>
    <row r="11" spans="2:21" x14ac:dyDescent="0.25">
      <c r="B11" s="62" t="s">
        <v>43</v>
      </c>
      <c r="C11" s="62" t="s">
        <v>164</v>
      </c>
      <c r="D11" s="63">
        <v>88</v>
      </c>
      <c r="E11" s="63">
        <v>74</v>
      </c>
      <c r="F11" s="63">
        <v>55</v>
      </c>
      <c r="G11" s="63">
        <v>39</v>
      </c>
      <c r="I11" s="64" t="s">
        <v>196</v>
      </c>
      <c r="J11" s="64">
        <v>275</v>
      </c>
      <c r="L11" s="65">
        <v>4</v>
      </c>
      <c r="M11" s="63">
        <f t="shared" si="0"/>
        <v>220</v>
      </c>
      <c r="N11" s="63">
        <f t="shared" si="1"/>
        <v>480</v>
      </c>
      <c r="P11" s="69" t="s">
        <v>124</v>
      </c>
    </row>
    <row r="12" spans="2:21" x14ac:dyDescent="0.25">
      <c r="B12" s="62" t="s">
        <v>197</v>
      </c>
      <c r="C12" s="62" t="s">
        <v>164</v>
      </c>
      <c r="D12" s="63">
        <v>164</v>
      </c>
      <c r="E12" s="63">
        <v>137</v>
      </c>
      <c r="F12" s="63">
        <v>102</v>
      </c>
      <c r="G12" s="63">
        <v>78</v>
      </c>
      <c r="I12" s="64" t="s">
        <v>198</v>
      </c>
      <c r="J12" s="64">
        <v>360</v>
      </c>
      <c r="L12" s="65">
        <v>5</v>
      </c>
      <c r="M12" s="63">
        <f t="shared" si="0"/>
        <v>275</v>
      </c>
      <c r="N12" s="63">
        <f t="shared" si="1"/>
        <v>600</v>
      </c>
      <c r="P12" s="69" t="s">
        <v>125</v>
      </c>
    </row>
    <row r="13" spans="2:21" x14ac:dyDescent="0.25">
      <c r="B13" s="62" t="s">
        <v>199</v>
      </c>
      <c r="C13" s="62" t="s">
        <v>164</v>
      </c>
      <c r="D13" s="63">
        <v>164</v>
      </c>
      <c r="E13" s="63">
        <v>137</v>
      </c>
      <c r="F13" s="63">
        <v>102</v>
      </c>
      <c r="G13" s="63">
        <v>78</v>
      </c>
      <c r="I13" s="64" t="s">
        <v>200</v>
      </c>
      <c r="J13" s="64">
        <v>530</v>
      </c>
      <c r="L13" s="65">
        <v>6</v>
      </c>
      <c r="M13" s="63">
        <f t="shared" si="0"/>
        <v>330</v>
      </c>
      <c r="N13" s="63">
        <f t="shared" si="1"/>
        <v>720</v>
      </c>
      <c r="P13" s="69" t="s">
        <v>126</v>
      </c>
    </row>
    <row r="14" spans="2:21" x14ac:dyDescent="0.25">
      <c r="B14" s="62" t="s">
        <v>201</v>
      </c>
      <c r="C14" s="62" t="s">
        <v>164</v>
      </c>
      <c r="D14" s="63">
        <v>294</v>
      </c>
      <c r="E14" s="63">
        <v>241</v>
      </c>
      <c r="F14" s="63">
        <v>190</v>
      </c>
      <c r="G14" s="63">
        <v>157</v>
      </c>
      <c r="I14" s="64" t="s">
        <v>202</v>
      </c>
      <c r="J14" s="64">
        <v>820</v>
      </c>
      <c r="L14" s="65">
        <v>7</v>
      </c>
      <c r="M14" s="63">
        <f t="shared" si="0"/>
        <v>385</v>
      </c>
      <c r="N14" s="63">
        <f t="shared" si="1"/>
        <v>840</v>
      </c>
      <c r="P14" s="69" t="s">
        <v>127</v>
      </c>
    </row>
    <row r="15" spans="2:21" x14ac:dyDescent="0.25">
      <c r="B15" s="62" t="s">
        <v>203</v>
      </c>
      <c r="C15" s="62" t="s">
        <v>164</v>
      </c>
      <c r="D15" s="63">
        <v>88</v>
      </c>
      <c r="E15" s="63">
        <v>74</v>
      </c>
      <c r="F15" s="63">
        <v>55</v>
      </c>
      <c r="G15" s="63">
        <v>39</v>
      </c>
      <c r="I15" s="64" t="s">
        <v>204</v>
      </c>
      <c r="J15" s="64">
        <v>1500</v>
      </c>
      <c r="L15" s="65">
        <v>8</v>
      </c>
      <c r="M15" s="63">
        <f t="shared" si="0"/>
        <v>440</v>
      </c>
      <c r="N15" s="63">
        <f t="shared" si="1"/>
        <v>960</v>
      </c>
      <c r="P15" s="69"/>
    </row>
    <row r="16" spans="2:21" ht="15" customHeight="1" x14ac:dyDescent="0.25">
      <c r="B16" s="62" t="s">
        <v>205</v>
      </c>
      <c r="C16" s="62" t="s">
        <v>164</v>
      </c>
      <c r="D16" s="63">
        <v>280</v>
      </c>
      <c r="E16" s="63">
        <v>214</v>
      </c>
      <c r="F16" s="63">
        <v>162</v>
      </c>
      <c r="G16" s="63">
        <v>131</v>
      </c>
      <c r="J16" s="66"/>
      <c r="L16" s="65">
        <v>9</v>
      </c>
      <c r="M16" s="63">
        <f t="shared" si="0"/>
        <v>495</v>
      </c>
      <c r="N16" s="63">
        <f t="shared" si="1"/>
        <v>1080</v>
      </c>
      <c r="P16" s="67" t="s">
        <v>206</v>
      </c>
    </row>
    <row r="17" spans="2:16" x14ac:dyDescent="0.25">
      <c r="B17" s="62" t="s">
        <v>207</v>
      </c>
      <c r="C17" s="62" t="s">
        <v>164</v>
      </c>
      <c r="D17" s="63">
        <v>88</v>
      </c>
      <c r="E17" s="63">
        <v>74</v>
      </c>
      <c r="F17" s="63">
        <v>55</v>
      </c>
      <c r="G17" s="63">
        <v>39</v>
      </c>
      <c r="J17" s="66"/>
      <c r="L17" s="65">
        <v>10</v>
      </c>
      <c r="M17" s="63">
        <f t="shared" si="0"/>
        <v>550</v>
      </c>
      <c r="N17" s="63">
        <f t="shared" si="1"/>
        <v>1200</v>
      </c>
      <c r="P17" s="69" t="s">
        <v>187</v>
      </c>
    </row>
    <row r="18" spans="2:16" ht="15" customHeight="1" x14ac:dyDescent="0.25">
      <c r="B18" s="62" t="s">
        <v>208</v>
      </c>
      <c r="C18" s="62" t="s">
        <v>164</v>
      </c>
      <c r="D18" s="63">
        <v>280</v>
      </c>
      <c r="E18" s="63">
        <v>214</v>
      </c>
      <c r="F18" s="63">
        <v>162</v>
      </c>
      <c r="G18" s="63">
        <v>131</v>
      </c>
      <c r="L18" s="65">
        <v>11</v>
      </c>
      <c r="M18" s="63">
        <f t="shared" si="0"/>
        <v>605</v>
      </c>
      <c r="N18" s="63">
        <f t="shared" si="1"/>
        <v>1320</v>
      </c>
      <c r="P18" s="69" t="s">
        <v>186</v>
      </c>
    </row>
    <row r="19" spans="2:16" x14ac:dyDescent="0.25">
      <c r="B19" s="62" t="s">
        <v>53</v>
      </c>
      <c r="C19" s="62" t="s">
        <v>164</v>
      </c>
      <c r="D19" s="63">
        <v>280</v>
      </c>
      <c r="E19" s="63">
        <v>214</v>
      </c>
      <c r="F19" s="63">
        <v>162</v>
      </c>
      <c r="G19" s="63">
        <v>131</v>
      </c>
      <c r="L19" s="65">
        <v>12</v>
      </c>
      <c r="M19" s="63">
        <f t="shared" si="0"/>
        <v>660</v>
      </c>
      <c r="N19" s="63">
        <f t="shared" si="1"/>
        <v>1440</v>
      </c>
    </row>
    <row r="20" spans="2:16" ht="18" x14ac:dyDescent="0.25">
      <c r="B20" s="62" t="s">
        <v>61</v>
      </c>
      <c r="C20" s="62" t="s">
        <v>164</v>
      </c>
      <c r="D20" s="63">
        <v>164</v>
      </c>
      <c r="E20" s="63">
        <v>137</v>
      </c>
      <c r="F20" s="63">
        <v>102</v>
      </c>
      <c r="G20" s="63">
        <v>78</v>
      </c>
      <c r="L20" s="65">
        <v>13</v>
      </c>
      <c r="M20" s="63">
        <f t="shared" si="0"/>
        <v>715</v>
      </c>
      <c r="N20" s="63">
        <f t="shared" si="1"/>
        <v>1560</v>
      </c>
      <c r="P20" s="67" t="s">
        <v>209</v>
      </c>
    </row>
    <row r="21" spans="2:16" x14ac:dyDescent="0.25">
      <c r="B21" s="62" t="s">
        <v>210</v>
      </c>
      <c r="C21" s="62" t="s">
        <v>164</v>
      </c>
      <c r="D21" s="63">
        <v>88</v>
      </c>
      <c r="E21" s="63">
        <v>74</v>
      </c>
      <c r="F21" s="63">
        <v>55</v>
      </c>
      <c r="G21" s="63">
        <v>39</v>
      </c>
      <c r="L21" s="65">
        <v>14</v>
      </c>
      <c r="M21" s="63">
        <f t="shared" si="0"/>
        <v>770</v>
      </c>
      <c r="N21" s="63">
        <f t="shared" si="1"/>
        <v>1680</v>
      </c>
      <c r="P21" s="69" t="s">
        <v>211</v>
      </c>
    </row>
    <row r="22" spans="2:16" x14ac:dyDescent="0.25">
      <c r="B22" s="62" t="s">
        <v>212</v>
      </c>
      <c r="C22" s="62" t="s">
        <v>164</v>
      </c>
      <c r="D22" s="63">
        <v>280</v>
      </c>
      <c r="E22" s="63">
        <v>214</v>
      </c>
      <c r="F22" s="63">
        <v>162</v>
      </c>
      <c r="G22" s="63">
        <v>131</v>
      </c>
      <c r="L22" s="65">
        <v>15</v>
      </c>
      <c r="M22" s="70">
        <f>((L22-$L$21)*40)+770</f>
        <v>810</v>
      </c>
      <c r="N22" s="71">
        <f>((L22-$L$21)*70)+1680</f>
        <v>1750</v>
      </c>
      <c r="P22" s="89"/>
    </row>
    <row r="23" spans="2:16" x14ac:dyDescent="0.25">
      <c r="B23" s="62" t="s">
        <v>213</v>
      </c>
      <c r="C23" s="62" t="s">
        <v>164</v>
      </c>
      <c r="D23" s="63">
        <v>294</v>
      </c>
      <c r="E23" s="63">
        <v>241</v>
      </c>
      <c r="F23" s="63">
        <v>190</v>
      </c>
      <c r="G23" s="63">
        <v>157</v>
      </c>
      <c r="L23" s="65">
        <v>16</v>
      </c>
      <c r="M23" s="70">
        <f t="shared" ref="M23:M86" si="2">((L23-$L$21)*40)+770</f>
        <v>850</v>
      </c>
      <c r="N23" s="71">
        <f t="shared" ref="N23:N67" si="3">((L23-$L$21)*70)+1680</f>
        <v>1820</v>
      </c>
    </row>
    <row r="24" spans="2:16" x14ac:dyDescent="0.25">
      <c r="B24" s="62" t="s">
        <v>214</v>
      </c>
      <c r="C24" s="62" t="s">
        <v>164</v>
      </c>
      <c r="D24" s="63">
        <v>280</v>
      </c>
      <c r="E24" s="63">
        <v>214</v>
      </c>
      <c r="F24" s="63">
        <v>162</v>
      </c>
      <c r="G24" s="63">
        <v>131</v>
      </c>
      <c r="L24" s="65">
        <v>17</v>
      </c>
      <c r="M24" s="70">
        <f t="shared" si="2"/>
        <v>890</v>
      </c>
      <c r="N24" s="71">
        <f t="shared" si="3"/>
        <v>1890</v>
      </c>
    </row>
    <row r="25" spans="2:16" x14ac:dyDescent="0.25">
      <c r="B25" s="62" t="s">
        <v>215</v>
      </c>
      <c r="C25" s="62" t="s">
        <v>164</v>
      </c>
      <c r="D25" s="63">
        <v>88</v>
      </c>
      <c r="E25" s="63">
        <v>74</v>
      </c>
      <c r="F25" s="63">
        <v>55</v>
      </c>
      <c r="G25" s="63">
        <v>39</v>
      </c>
      <c r="L25" s="65">
        <v>18</v>
      </c>
      <c r="M25" s="70">
        <f t="shared" si="2"/>
        <v>930</v>
      </c>
      <c r="N25" s="71">
        <f t="shared" si="3"/>
        <v>1960</v>
      </c>
    </row>
    <row r="26" spans="2:16" x14ac:dyDescent="0.25">
      <c r="B26" s="62" t="s">
        <v>216</v>
      </c>
      <c r="C26" s="62" t="s">
        <v>164</v>
      </c>
      <c r="D26" s="63">
        <v>294</v>
      </c>
      <c r="E26" s="63">
        <v>241</v>
      </c>
      <c r="F26" s="63">
        <v>190</v>
      </c>
      <c r="G26" s="63">
        <v>157</v>
      </c>
      <c r="L26" s="65">
        <v>19</v>
      </c>
      <c r="M26" s="70">
        <f t="shared" si="2"/>
        <v>970</v>
      </c>
      <c r="N26" s="71">
        <f t="shared" si="3"/>
        <v>2030</v>
      </c>
    </row>
    <row r="27" spans="2:16" x14ac:dyDescent="0.25">
      <c r="B27" s="62" t="s">
        <v>217</v>
      </c>
      <c r="C27" s="62" t="s">
        <v>164</v>
      </c>
      <c r="D27" s="63">
        <v>88</v>
      </c>
      <c r="E27" s="63">
        <v>74</v>
      </c>
      <c r="F27" s="63">
        <v>55</v>
      </c>
      <c r="G27" s="63">
        <v>39</v>
      </c>
      <c r="L27" s="65">
        <v>20</v>
      </c>
      <c r="M27" s="70">
        <f t="shared" si="2"/>
        <v>1010</v>
      </c>
      <c r="N27" s="71">
        <f t="shared" si="3"/>
        <v>2100</v>
      </c>
    </row>
    <row r="28" spans="2:16" x14ac:dyDescent="0.25">
      <c r="B28" s="62" t="s">
        <v>218</v>
      </c>
      <c r="C28" s="62" t="s">
        <v>164</v>
      </c>
      <c r="D28" s="63">
        <v>294</v>
      </c>
      <c r="E28" s="63">
        <v>241</v>
      </c>
      <c r="F28" s="63">
        <v>190</v>
      </c>
      <c r="G28" s="63">
        <v>157</v>
      </c>
      <c r="L28" s="65">
        <v>21</v>
      </c>
      <c r="M28" s="70">
        <f t="shared" si="2"/>
        <v>1050</v>
      </c>
      <c r="N28" s="71">
        <f t="shared" si="3"/>
        <v>2170</v>
      </c>
    </row>
    <row r="29" spans="2:16" x14ac:dyDescent="0.25">
      <c r="B29" s="62" t="s">
        <v>219</v>
      </c>
      <c r="C29" s="62" t="s">
        <v>164</v>
      </c>
      <c r="D29" s="63">
        <v>164</v>
      </c>
      <c r="E29" s="63">
        <v>137</v>
      </c>
      <c r="F29" s="63">
        <v>102</v>
      </c>
      <c r="G29" s="63">
        <v>78</v>
      </c>
      <c r="L29" s="65">
        <v>22</v>
      </c>
      <c r="M29" s="70">
        <f t="shared" si="2"/>
        <v>1090</v>
      </c>
      <c r="N29" s="71">
        <f t="shared" si="3"/>
        <v>2240</v>
      </c>
    </row>
    <row r="30" spans="2:16" x14ac:dyDescent="0.25">
      <c r="B30" s="62" t="s">
        <v>220</v>
      </c>
      <c r="C30" s="62" t="s">
        <v>164</v>
      </c>
      <c r="D30" s="63">
        <v>294</v>
      </c>
      <c r="E30" s="63">
        <v>241</v>
      </c>
      <c r="F30" s="63">
        <v>190</v>
      </c>
      <c r="G30" s="63">
        <v>157</v>
      </c>
      <c r="L30" s="65">
        <v>23</v>
      </c>
      <c r="M30" s="70">
        <f t="shared" si="2"/>
        <v>1130</v>
      </c>
      <c r="N30" s="71">
        <f t="shared" si="3"/>
        <v>2310</v>
      </c>
    </row>
    <row r="31" spans="2:16" x14ac:dyDescent="0.25">
      <c r="B31" s="62" t="s">
        <v>221</v>
      </c>
      <c r="C31" s="62" t="s">
        <v>164</v>
      </c>
      <c r="D31" s="63">
        <v>294</v>
      </c>
      <c r="E31" s="63">
        <v>241</v>
      </c>
      <c r="F31" s="63">
        <v>190</v>
      </c>
      <c r="G31" s="63">
        <v>157</v>
      </c>
      <c r="L31" s="65">
        <v>24</v>
      </c>
      <c r="M31" s="70">
        <f t="shared" si="2"/>
        <v>1170</v>
      </c>
      <c r="N31" s="71">
        <f t="shared" si="3"/>
        <v>2380</v>
      </c>
    </row>
    <row r="32" spans="2:16" x14ac:dyDescent="0.25">
      <c r="B32" s="62" t="s">
        <v>222</v>
      </c>
      <c r="C32" s="62" t="s">
        <v>164</v>
      </c>
      <c r="D32" s="63">
        <v>88</v>
      </c>
      <c r="E32" s="63">
        <v>74</v>
      </c>
      <c r="F32" s="63">
        <v>55</v>
      </c>
      <c r="G32" s="63">
        <v>39</v>
      </c>
      <c r="L32" s="65">
        <v>25</v>
      </c>
      <c r="M32" s="70">
        <f t="shared" si="2"/>
        <v>1210</v>
      </c>
      <c r="N32" s="71">
        <f t="shared" si="3"/>
        <v>2450</v>
      </c>
    </row>
    <row r="33" spans="2:14" x14ac:dyDescent="0.25">
      <c r="B33" s="62" t="s">
        <v>223</v>
      </c>
      <c r="C33" s="62" t="s">
        <v>164</v>
      </c>
      <c r="D33" s="63">
        <v>164</v>
      </c>
      <c r="E33" s="63">
        <v>137</v>
      </c>
      <c r="F33" s="63">
        <v>102</v>
      </c>
      <c r="G33" s="63">
        <v>78</v>
      </c>
      <c r="L33" s="65">
        <v>26</v>
      </c>
      <c r="M33" s="70">
        <f t="shared" si="2"/>
        <v>1250</v>
      </c>
      <c r="N33" s="71">
        <f t="shared" si="3"/>
        <v>2520</v>
      </c>
    </row>
    <row r="34" spans="2:14" x14ac:dyDescent="0.25">
      <c r="B34" s="62" t="s">
        <v>224</v>
      </c>
      <c r="C34" s="62" t="s">
        <v>164</v>
      </c>
      <c r="D34" s="63">
        <v>88</v>
      </c>
      <c r="E34" s="63">
        <v>74</v>
      </c>
      <c r="F34" s="63">
        <v>55</v>
      </c>
      <c r="G34" s="63">
        <v>39</v>
      </c>
      <c r="L34" s="65">
        <v>27</v>
      </c>
      <c r="M34" s="70">
        <f t="shared" si="2"/>
        <v>1290</v>
      </c>
      <c r="N34" s="71">
        <f t="shared" si="3"/>
        <v>2590</v>
      </c>
    </row>
    <row r="35" spans="2:14" x14ac:dyDescent="0.25">
      <c r="B35" s="62" t="s">
        <v>30</v>
      </c>
      <c r="C35" s="62" t="s">
        <v>164</v>
      </c>
      <c r="D35" s="63">
        <v>88</v>
      </c>
      <c r="E35" s="63">
        <v>74</v>
      </c>
      <c r="F35" s="63">
        <v>55</v>
      </c>
      <c r="G35" s="63">
        <v>39</v>
      </c>
      <c r="L35" s="65">
        <v>28</v>
      </c>
      <c r="M35" s="70">
        <f t="shared" si="2"/>
        <v>1330</v>
      </c>
      <c r="N35" s="71">
        <f t="shared" si="3"/>
        <v>2660</v>
      </c>
    </row>
    <row r="36" spans="2:14" x14ac:dyDescent="0.25">
      <c r="B36" s="62" t="s">
        <v>225</v>
      </c>
      <c r="C36" s="62" t="s">
        <v>164</v>
      </c>
      <c r="D36" s="63">
        <v>88</v>
      </c>
      <c r="E36" s="63">
        <v>74</v>
      </c>
      <c r="F36" s="63">
        <v>55</v>
      </c>
      <c r="G36" s="63">
        <v>39</v>
      </c>
      <c r="L36" s="65">
        <v>29</v>
      </c>
      <c r="M36" s="70">
        <f t="shared" si="2"/>
        <v>1370</v>
      </c>
      <c r="N36" s="71">
        <f t="shared" si="3"/>
        <v>2730</v>
      </c>
    </row>
    <row r="37" spans="2:14" x14ac:dyDescent="0.25">
      <c r="B37" s="62" t="s">
        <v>226</v>
      </c>
      <c r="C37" s="62" t="s">
        <v>164</v>
      </c>
      <c r="D37" s="63">
        <v>164</v>
      </c>
      <c r="E37" s="63">
        <v>137</v>
      </c>
      <c r="F37" s="63">
        <v>102</v>
      </c>
      <c r="G37" s="63">
        <v>78</v>
      </c>
      <c r="L37" s="65">
        <v>30</v>
      </c>
      <c r="M37" s="70">
        <f t="shared" si="2"/>
        <v>1410</v>
      </c>
      <c r="N37" s="71">
        <f t="shared" si="3"/>
        <v>2800</v>
      </c>
    </row>
    <row r="38" spans="2:14" x14ac:dyDescent="0.25">
      <c r="B38" s="62" t="s">
        <v>227</v>
      </c>
      <c r="C38" s="62" t="s">
        <v>164</v>
      </c>
      <c r="D38" s="63">
        <v>164</v>
      </c>
      <c r="E38" s="63">
        <v>137</v>
      </c>
      <c r="F38" s="63">
        <v>102</v>
      </c>
      <c r="G38" s="63">
        <v>78</v>
      </c>
      <c r="L38" s="65">
        <v>31</v>
      </c>
      <c r="M38" s="70">
        <f t="shared" si="2"/>
        <v>1450</v>
      </c>
      <c r="N38" s="71">
        <f t="shared" si="3"/>
        <v>2870</v>
      </c>
    </row>
    <row r="39" spans="2:14" x14ac:dyDescent="0.25">
      <c r="B39" s="62" t="s">
        <v>228</v>
      </c>
      <c r="C39" s="62" t="s">
        <v>164</v>
      </c>
      <c r="D39" s="63">
        <v>294</v>
      </c>
      <c r="E39" s="63">
        <v>241</v>
      </c>
      <c r="F39" s="63">
        <v>190</v>
      </c>
      <c r="G39" s="63">
        <v>157</v>
      </c>
      <c r="L39" s="65">
        <v>32</v>
      </c>
      <c r="M39" s="70">
        <f t="shared" si="2"/>
        <v>1490</v>
      </c>
      <c r="N39" s="71">
        <f t="shared" si="3"/>
        <v>2940</v>
      </c>
    </row>
    <row r="40" spans="2:14" x14ac:dyDescent="0.25">
      <c r="B40" s="62" t="s">
        <v>35</v>
      </c>
      <c r="C40" s="62" t="s">
        <v>164</v>
      </c>
      <c r="D40" s="63">
        <v>88</v>
      </c>
      <c r="E40" s="63">
        <v>74</v>
      </c>
      <c r="F40" s="63">
        <v>55</v>
      </c>
      <c r="G40" s="63">
        <v>39</v>
      </c>
      <c r="L40" s="65">
        <v>33</v>
      </c>
      <c r="M40" s="70">
        <f t="shared" si="2"/>
        <v>1530</v>
      </c>
      <c r="N40" s="71">
        <f t="shared" si="3"/>
        <v>3010</v>
      </c>
    </row>
    <row r="41" spans="2:14" x14ac:dyDescent="0.25">
      <c r="B41" s="62" t="s">
        <v>229</v>
      </c>
      <c r="C41" s="62" t="s">
        <v>164</v>
      </c>
      <c r="D41" s="63">
        <v>280</v>
      </c>
      <c r="E41" s="63">
        <v>214</v>
      </c>
      <c r="F41" s="63">
        <v>162</v>
      </c>
      <c r="G41" s="63">
        <v>131</v>
      </c>
      <c r="L41" s="65">
        <v>34</v>
      </c>
      <c r="M41" s="70">
        <f t="shared" si="2"/>
        <v>1570</v>
      </c>
      <c r="N41" s="71">
        <f t="shared" si="3"/>
        <v>3080</v>
      </c>
    </row>
    <row r="42" spans="2:14" x14ac:dyDescent="0.25">
      <c r="B42" s="64" t="s">
        <v>230</v>
      </c>
      <c r="C42" s="64" t="s">
        <v>165</v>
      </c>
      <c r="D42" s="72">
        <v>77</v>
      </c>
      <c r="E42" s="72">
        <v>57</v>
      </c>
      <c r="F42" s="72">
        <v>40</v>
      </c>
      <c r="G42" s="72">
        <v>32</v>
      </c>
      <c r="L42" s="65">
        <v>35</v>
      </c>
      <c r="M42" s="70">
        <f t="shared" si="2"/>
        <v>1610</v>
      </c>
      <c r="N42" s="71">
        <f t="shared" si="3"/>
        <v>3150</v>
      </c>
    </row>
    <row r="43" spans="2:14" x14ac:dyDescent="0.25">
      <c r="B43" s="64" t="s">
        <v>48</v>
      </c>
      <c r="C43" s="64" t="s">
        <v>165</v>
      </c>
      <c r="D43" s="72">
        <v>108</v>
      </c>
      <c r="E43" s="72">
        <v>80</v>
      </c>
      <c r="F43" s="72">
        <v>57</v>
      </c>
      <c r="G43" s="72">
        <v>45</v>
      </c>
      <c r="L43" s="65">
        <v>36</v>
      </c>
      <c r="M43" s="70">
        <f t="shared" si="2"/>
        <v>1650</v>
      </c>
      <c r="N43" s="71">
        <f t="shared" si="3"/>
        <v>3220</v>
      </c>
    </row>
    <row r="44" spans="2:14" x14ac:dyDescent="0.25">
      <c r="B44" s="64" t="s">
        <v>231</v>
      </c>
      <c r="C44" s="64" t="s">
        <v>165</v>
      </c>
      <c r="D44" s="72">
        <v>47</v>
      </c>
      <c r="E44" s="72">
        <v>33</v>
      </c>
      <c r="F44" s="72">
        <v>22</v>
      </c>
      <c r="G44" s="72">
        <v>17</v>
      </c>
      <c r="L44" s="65">
        <v>37</v>
      </c>
      <c r="M44" s="70">
        <f t="shared" si="2"/>
        <v>1690</v>
      </c>
      <c r="N44" s="71">
        <f t="shared" si="3"/>
        <v>3290</v>
      </c>
    </row>
    <row r="45" spans="2:14" x14ac:dyDescent="0.25">
      <c r="B45" s="64" t="s">
        <v>232</v>
      </c>
      <c r="C45" s="64" t="s">
        <v>165</v>
      </c>
      <c r="D45" s="72">
        <v>108</v>
      </c>
      <c r="E45" s="72">
        <v>80</v>
      </c>
      <c r="F45" s="72">
        <v>57</v>
      </c>
      <c r="G45" s="72">
        <v>45</v>
      </c>
      <c r="L45" s="65">
        <v>38</v>
      </c>
      <c r="M45" s="70">
        <f t="shared" si="2"/>
        <v>1730</v>
      </c>
      <c r="N45" s="71">
        <f t="shared" si="3"/>
        <v>3360</v>
      </c>
    </row>
    <row r="46" spans="2:14" x14ac:dyDescent="0.25">
      <c r="B46" s="64" t="s">
        <v>233</v>
      </c>
      <c r="C46" s="64" t="s">
        <v>165</v>
      </c>
      <c r="D46" s="72">
        <v>108</v>
      </c>
      <c r="E46" s="72">
        <v>80</v>
      </c>
      <c r="F46" s="72">
        <v>57</v>
      </c>
      <c r="G46" s="72">
        <v>45</v>
      </c>
      <c r="L46" s="65">
        <v>39</v>
      </c>
      <c r="M46" s="70">
        <f t="shared" si="2"/>
        <v>1770</v>
      </c>
      <c r="N46" s="71">
        <f t="shared" si="3"/>
        <v>3430</v>
      </c>
    </row>
    <row r="47" spans="2:14" x14ac:dyDescent="0.25">
      <c r="B47" s="64" t="s">
        <v>234</v>
      </c>
      <c r="C47" s="64" t="s">
        <v>165</v>
      </c>
      <c r="D47" s="72">
        <v>108</v>
      </c>
      <c r="E47" s="72">
        <v>80</v>
      </c>
      <c r="F47" s="72">
        <v>57</v>
      </c>
      <c r="G47" s="72">
        <v>45</v>
      </c>
      <c r="L47" s="65">
        <v>40</v>
      </c>
      <c r="M47" s="70">
        <f t="shared" si="2"/>
        <v>1810</v>
      </c>
      <c r="N47" s="71">
        <f t="shared" si="3"/>
        <v>3500</v>
      </c>
    </row>
    <row r="48" spans="2:14" x14ac:dyDescent="0.25">
      <c r="B48" s="64" t="s">
        <v>235</v>
      </c>
      <c r="C48" s="64" t="s">
        <v>165</v>
      </c>
      <c r="D48" s="72">
        <v>47</v>
      </c>
      <c r="E48" s="72">
        <v>33</v>
      </c>
      <c r="F48" s="72">
        <v>22</v>
      </c>
      <c r="G48" s="72">
        <v>17</v>
      </c>
      <c r="L48" s="65">
        <v>41</v>
      </c>
      <c r="M48" s="70">
        <f t="shared" si="2"/>
        <v>1850</v>
      </c>
      <c r="N48" s="71">
        <f t="shared" si="3"/>
        <v>3570</v>
      </c>
    </row>
    <row r="49" spans="2:14" x14ac:dyDescent="0.25">
      <c r="B49" s="64" t="s">
        <v>236</v>
      </c>
      <c r="C49" s="64" t="s">
        <v>165</v>
      </c>
      <c r="D49" s="72">
        <v>77</v>
      </c>
      <c r="E49" s="72">
        <v>57</v>
      </c>
      <c r="F49" s="72">
        <v>40</v>
      </c>
      <c r="G49" s="72">
        <v>32</v>
      </c>
      <c r="L49" s="65">
        <v>42</v>
      </c>
      <c r="M49" s="70">
        <f t="shared" si="2"/>
        <v>1890</v>
      </c>
      <c r="N49" s="71">
        <f t="shared" si="3"/>
        <v>3640</v>
      </c>
    </row>
    <row r="50" spans="2:14" x14ac:dyDescent="0.25">
      <c r="B50" s="64" t="s">
        <v>237</v>
      </c>
      <c r="C50" s="64" t="s">
        <v>165</v>
      </c>
      <c r="D50" s="72">
        <v>77</v>
      </c>
      <c r="E50" s="72">
        <v>57</v>
      </c>
      <c r="F50" s="72">
        <v>40</v>
      </c>
      <c r="G50" s="72">
        <v>32</v>
      </c>
      <c r="L50" s="65">
        <v>43</v>
      </c>
      <c r="M50" s="70">
        <f t="shared" si="2"/>
        <v>1930</v>
      </c>
      <c r="N50" s="71">
        <f t="shared" si="3"/>
        <v>3710</v>
      </c>
    </row>
    <row r="51" spans="2:14" x14ac:dyDescent="0.25">
      <c r="B51" s="64" t="s">
        <v>238</v>
      </c>
      <c r="C51" s="64" t="s">
        <v>165</v>
      </c>
      <c r="D51" s="72">
        <v>47</v>
      </c>
      <c r="E51" s="72">
        <v>33</v>
      </c>
      <c r="F51" s="72">
        <v>22</v>
      </c>
      <c r="G51" s="72">
        <v>17</v>
      </c>
      <c r="L51" s="65">
        <v>44</v>
      </c>
      <c r="M51" s="70">
        <f t="shared" si="2"/>
        <v>1970</v>
      </c>
      <c r="N51" s="71">
        <f t="shared" si="3"/>
        <v>3780</v>
      </c>
    </row>
    <row r="52" spans="2:14" x14ac:dyDescent="0.25">
      <c r="B52" s="64" t="s">
        <v>239</v>
      </c>
      <c r="C52" s="64" t="s">
        <v>165</v>
      </c>
      <c r="D52" s="72">
        <v>108</v>
      </c>
      <c r="E52" s="72">
        <v>80</v>
      </c>
      <c r="F52" s="72">
        <v>57</v>
      </c>
      <c r="G52" s="72">
        <v>45</v>
      </c>
      <c r="L52" s="65">
        <v>45</v>
      </c>
      <c r="M52" s="70">
        <f t="shared" si="2"/>
        <v>2010</v>
      </c>
      <c r="N52" s="71">
        <f t="shared" si="3"/>
        <v>3850</v>
      </c>
    </row>
    <row r="53" spans="2:14" x14ac:dyDescent="0.25">
      <c r="B53" s="64" t="s">
        <v>240</v>
      </c>
      <c r="C53" s="64" t="s">
        <v>165</v>
      </c>
      <c r="D53" s="72">
        <v>47</v>
      </c>
      <c r="E53" s="72">
        <v>33</v>
      </c>
      <c r="F53" s="72">
        <v>22</v>
      </c>
      <c r="G53" s="72">
        <v>17</v>
      </c>
      <c r="L53" s="65">
        <v>46</v>
      </c>
      <c r="M53" s="70">
        <f t="shared" si="2"/>
        <v>2050</v>
      </c>
      <c r="N53" s="71">
        <f t="shared" si="3"/>
        <v>3920</v>
      </c>
    </row>
    <row r="54" spans="2:14" x14ac:dyDescent="0.25">
      <c r="B54" s="64" t="s">
        <v>241</v>
      </c>
      <c r="C54" s="64" t="s">
        <v>165</v>
      </c>
      <c r="D54" s="72">
        <v>47</v>
      </c>
      <c r="E54" s="72">
        <v>33</v>
      </c>
      <c r="F54" s="72">
        <v>22</v>
      </c>
      <c r="G54" s="72">
        <v>17</v>
      </c>
      <c r="L54" s="65">
        <v>47</v>
      </c>
      <c r="M54" s="70">
        <f t="shared" si="2"/>
        <v>2090</v>
      </c>
      <c r="N54" s="71">
        <f t="shared" si="3"/>
        <v>3990</v>
      </c>
    </row>
    <row r="55" spans="2:14" x14ac:dyDescent="0.25">
      <c r="B55" s="64" t="s">
        <v>242</v>
      </c>
      <c r="C55" s="64" t="s">
        <v>165</v>
      </c>
      <c r="D55" s="72">
        <v>47</v>
      </c>
      <c r="E55" s="72">
        <v>33</v>
      </c>
      <c r="F55" s="72">
        <v>22</v>
      </c>
      <c r="G55" s="72">
        <v>17</v>
      </c>
      <c r="L55" s="65">
        <v>48</v>
      </c>
      <c r="M55" s="70">
        <f t="shared" si="2"/>
        <v>2130</v>
      </c>
      <c r="N55" s="71">
        <f t="shared" si="3"/>
        <v>4060</v>
      </c>
    </row>
    <row r="56" spans="2:14" x14ac:dyDescent="0.25">
      <c r="B56" s="64" t="s">
        <v>243</v>
      </c>
      <c r="C56" s="64" t="s">
        <v>165</v>
      </c>
      <c r="D56" s="72">
        <v>47</v>
      </c>
      <c r="E56" s="72">
        <v>33</v>
      </c>
      <c r="F56" s="72">
        <v>22</v>
      </c>
      <c r="G56" s="72">
        <v>17</v>
      </c>
      <c r="L56" s="65">
        <v>49</v>
      </c>
      <c r="M56" s="70">
        <f t="shared" si="2"/>
        <v>2170</v>
      </c>
      <c r="N56" s="71">
        <f t="shared" si="3"/>
        <v>4130</v>
      </c>
    </row>
    <row r="57" spans="2:14" x14ac:dyDescent="0.25">
      <c r="B57" s="64" t="s">
        <v>244</v>
      </c>
      <c r="C57" s="64" t="s">
        <v>165</v>
      </c>
      <c r="D57" s="72">
        <v>77</v>
      </c>
      <c r="E57" s="72">
        <v>57</v>
      </c>
      <c r="F57" s="72">
        <v>40</v>
      </c>
      <c r="G57" s="72">
        <v>32</v>
      </c>
      <c r="L57" s="65">
        <v>50</v>
      </c>
      <c r="M57" s="70">
        <f t="shared" si="2"/>
        <v>2210</v>
      </c>
      <c r="N57" s="71">
        <f t="shared" si="3"/>
        <v>4200</v>
      </c>
    </row>
    <row r="58" spans="2:14" x14ac:dyDescent="0.25">
      <c r="B58" s="64" t="s">
        <v>245</v>
      </c>
      <c r="C58" s="64" t="s">
        <v>165</v>
      </c>
      <c r="D58" s="72">
        <v>108</v>
      </c>
      <c r="E58" s="72">
        <v>80</v>
      </c>
      <c r="F58" s="72">
        <v>57</v>
      </c>
      <c r="G58" s="72">
        <v>45</v>
      </c>
      <c r="L58" s="65">
        <v>51</v>
      </c>
      <c r="M58" s="70">
        <f t="shared" si="2"/>
        <v>2250</v>
      </c>
      <c r="N58" s="71">
        <f t="shared" si="3"/>
        <v>4270</v>
      </c>
    </row>
    <row r="59" spans="2:14" x14ac:dyDescent="0.25">
      <c r="B59" s="64" t="s">
        <v>246</v>
      </c>
      <c r="C59" s="64" t="s">
        <v>165</v>
      </c>
      <c r="D59" s="72">
        <v>47</v>
      </c>
      <c r="E59" s="72">
        <v>33</v>
      </c>
      <c r="F59" s="72">
        <v>22</v>
      </c>
      <c r="G59" s="72">
        <v>17</v>
      </c>
      <c r="L59" s="65">
        <v>52</v>
      </c>
      <c r="M59" s="70">
        <f t="shared" si="2"/>
        <v>2290</v>
      </c>
      <c r="N59" s="71">
        <f t="shared" si="3"/>
        <v>4340</v>
      </c>
    </row>
    <row r="60" spans="2:14" x14ac:dyDescent="0.25">
      <c r="B60" s="64" t="s">
        <v>247</v>
      </c>
      <c r="C60" s="64" t="s">
        <v>165</v>
      </c>
      <c r="D60" s="72">
        <v>108</v>
      </c>
      <c r="E60" s="72">
        <v>80</v>
      </c>
      <c r="F60" s="72">
        <v>57</v>
      </c>
      <c r="G60" s="72">
        <v>45</v>
      </c>
      <c r="L60" s="65">
        <v>53</v>
      </c>
      <c r="M60" s="70">
        <f t="shared" si="2"/>
        <v>2330</v>
      </c>
      <c r="N60" s="71">
        <f t="shared" si="3"/>
        <v>4410</v>
      </c>
    </row>
    <row r="61" spans="2:14" x14ac:dyDescent="0.25">
      <c r="B61" s="64" t="s">
        <v>248</v>
      </c>
      <c r="C61" s="64" t="s">
        <v>165</v>
      </c>
      <c r="D61" s="72">
        <v>77</v>
      </c>
      <c r="E61" s="72">
        <v>57</v>
      </c>
      <c r="F61" s="72">
        <v>40</v>
      </c>
      <c r="G61" s="72">
        <v>32</v>
      </c>
      <c r="L61" s="65">
        <v>54</v>
      </c>
      <c r="M61" s="70">
        <f t="shared" si="2"/>
        <v>2370</v>
      </c>
      <c r="N61" s="71">
        <f t="shared" si="3"/>
        <v>4480</v>
      </c>
    </row>
    <row r="62" spans="2:14" x14ac:dyDescent="0.25">
      <c r="B62" s="64" t="s">
        <v>249</v>
      </c>
      <c r="C62" s="64" t="s">
        <v>165</v>
      </c>
      <c r="D62" s="72">
        <v>47</v>
      </c>
      <c r="E62" s="72">
        <v>33</v>
      </c>
      <c r="F62" s="72">
        <v>22</v>
      </c>
      <c r="G62" s="72">
        <v>17</v>
      </c>
      <c r="L62" s="65">
        <v>55</v>
      </c>
      <c r="M62" s="70">
        <f t="shared" si="2"/>
        <v>2410</v>
      </c>
      <c r="N62" s="71">
        <f t="shared" si="3"/>
        <v>4550</v>
      </c>
    </row>
    <row r="63" spans="2:14" x14ac:dyDescent="0.25">
      <c r="B63" s="64" t="s">
        <v>250</v>
      </c>
      <c r="C63" s="64" t="s">
        <v>165</v>
      </c>
      <c r="D63" s="72">
        <v>47</v>
      </c>
      <c r="E63" s="72">
        <v>33</v>
      </c>
      <c r="F63" s="72">
        <v>22</v>
      </c>
      <c r="G63" s="72">
        <v>17</v>
      </c>
      <c r="L63" s="65">
        <v>56</v>
      </c>
      <c r="M63" s="70">
        <f t="shared" si="2"/>
        <v>2450</v>
      </c>
      <c r="N63" s="71">
        <f t="shared" si="3"/>
        <v>4620</v>
      </c>
    </row>
    <row r="64" spans="2:14" x14ac:dyDescent="0.25">
      <c r="B64" s="64" t="s">
        <v>251</v>
      </c>
      <c r="C64" s="64" t="s">
        <v>165</v>
      </c>
      <c r="D64" s="72">
        <v>77</v>
      </c>
      <c r="E64" s="72">
        <v>57</v>
      </c>
      <c r="F64" s="72">
        <v>40</v>
      </c>
      <c r="G64" s="72">
        <v>32</v>
      </c>
      <c r="L64" s="65">
        <v>57</v>
      </c>
      <c r="M64" s="70">
        <f t="shared" si="2"/>
        <v>2490</v>
      </c>
      <c r="N64" s="71">
        <f t="shared" si="3"/>
        <v>4690</v>
      </c>
    </row>
    <row r="65" spans="2:14" x14ac:dyDescent="0.25">
      <c r="B65" s="64" t="s">
        <v>252</v>
      </c>
      <c r="C65" s="64" t="s">
        <v>165</v>
      </c>
      <c r="D65" s="72">
        <v>47</v>
      </c>
      <c r="E65" s="72">
        <v>33</v>
      </c>
      <c r="F65" s="72">
        <v>22</v>
      </c>
      <c r="G65" s="72">
        <v>17</v>
      </c>
      <c r="L65" s="65">
        <v>58</v>
      </c>
      <c r="M65" s="70">
        <f t="shared" si="2"/>
        <v>2530</v>
      </c>
      <c r="N65" s="71">
        <f t="shared" si="3"/>
        <v>4760</v>
      </c>
    </row>
    <row r="66" spans="2:14" x14ac:dyDescent="0.25">
      <c r="B66" s="64" t="s">
        <v>253</v>
      </c>
      <c r="C66" s="64" t="s">
        <v>165</v>
      </c>
      <c r="D66" s="72">
        <v>47</v>
      </c>
      <c r="E66" s="72">
        <v>33</v>
      </c>
      <c r="F66" s="72">
        <v>22</v>
      </c>
      <c r="G66" s="72">
        <v>17</v>
      </c>
      <c r="L66" s="65">
        <v>59</v>
      </c>
      <c r="M66" s="70">
        <f t="shared" si="2"/>
        <v>2570</v>
      </c>
      <c r="N66" s="71">
        <f t="shared" si="3"/>
        <v>4830</v>
      </c>
    </row>
    <row r="67" spans="2:14" x14ac:dyDescent="0.25">
      <c r="B67" s="64" t="s">
        <v>254</v>
      </c>
      <c r="C67" s="64" t="s">
        <v>165</v>
      </c>
      <c r="D67" s="72">
        <v>47</v>
      </c>
      <c r="E67" s="72">
        <v>33</v>
      </c>
      <c r="F67" s="72">
        <v>22</v>
      </c>
      <c r="G67" s="72">
        <v>17</v>
      </c>
      <c r="L67" s="65">
        <v>60</v>
      </c>
      <c r="M67" s="70">
        <f t="shared" si="2"/>
        <v>2610</v>
      </c>
      <c r="N67" s="71">
        <f t="shared" si="3"/>
        <v>4900</v>
      </c>
    </row>
    <row r="68" spans="2:14" x14ac:dyDescent="0.25">
      <c r="B68" s="64" t="s">
        <v>255</v>
      </c>
      <c r="C68" s="64" t="s">
        <v>165</v>
      </c>
      <c r="D68" s="72">
        <v>108</v>
      </c>
      <c r="E68" s="72">
        <v>80</v>
      </c>
      <c r="F68" s="72">
        <v>57</v>
      </c>
      <c r="G68" s="72">
        <v>45</v>
      </c>
      <c r="L68" s="73">
        <v>61</v>
      </c>
      <c r="M68" s="70">
        <f t="shared" si="2"/>
        <v>2650</v>
      </c>
      <c r="N68" s="74">
        <f>((L68-$L$67)*50)+4900</f>
        <v>4950</v>
      </c>
    </row>
    <row r="69" spans="2:14" x14ac:dyDescent="0.25">
      <c r="B69" s="64" t="s">
        <v>256</v>
      </c>
      <c r="C69" s="64" t="s">
        <v>165</v>
      </c>
      <c r="D69" s="72">
        <v>77</v>
      </c>
      <c r="E69" s="72">
        <v>57</v>
      </c>
      <c r="F69" s="72">
        <v>40</v>
      </c>
      <c r="G69" s="72">
        <v>32</v>
      </c>
      <c r="L69" s="65">
        <v>62</v>
      </c>
      <c r="M69" s="70">
        <f t="shared" si="2"/>
        <v>2690</v>
      </c>
      <c r="N69" s="74">
        <f t="shared" ref="N69:N97" si="4">((L69-$L$67)*50)+4900</f>
        <v>5000</v>
      </c>
    </row>
    <row r="70" spans="2:14" x14ac:dyDescent="0.25">
      <c r="B70" s="64" t="s">
        <v>257</v>
      </c>
      <c r="C70" s="64" t="s">
        <v>165</v>
      </c>
      <c r="D70" s="72">
        <v>108</v>
      </c>
      <c r="E70" s="72">
        <v>80</v>
      </c>
      <c r="F70" s="72">
        <v>57</v>
      </c>
      <c r="G70" s="72">
        <v>45</v>
      </c>
      <c r="L70" s="65">
        <v>63</v>
      </c>
      <c r="M70" s="70">
        <f t="shared" si="2"/>
        <v>2730</v>
      </c>
      <c r="N70" s="74">
        <f t="shared" si="4"/>
        <v>5050</v>
      </c>
    </row>
    <row r="71" spans="2:14" x14ac:dyDescent="0.25">
      <c r="B71" s="64" t="s">
        <v>258</v>
      </c>
      <c r="C71" s="64" t="s">
        <v>165</v>
      </c>
      <c r="D71" s="72">
        <v>108</v>
      </c>
      <c r="E71" s="72">
        <v>80</v>
      </c>
      <c r="F71" s="72">
        <v>57</v>
      </c>
      <c r="G71" s="72">
        <v>45</v>
      </c>
      <c r="L71" s="65">
        <v>64</v>
      </c>
      <c r="M71" s="70">
        <f t="shared" si="2"/>
        <v>2770</v>
      </c>
      <c r="N71" s="74">
        <f t="shared" si="4"/>
        <v>5100</v>
      </c>
    </row>
    <row r="72" spans="2:14" x14ac:dyDescent="0.25">
      <c r="B72" s="64" t="s">
        <v>259</v>
      </c>
      <c r="C72" s="64" t="s">
        <v>165</v>
      </c>
      <c r="D72" s="72">
        <v>77</v>
      </c>
      <c r="E72" s="72">
        <v>57</v>
      </c>
      <c r="F72" s="72">
        <v>40</v>
      </c>
      <c r="G72" s="72">
        <v>32</v>
      </c>
      <c r="L72" s="65">
        <v>65</v>
      </c>
      <c r="M72" s="70">
        <f t="shared" si="2"/>
        <v>2810</v>
      </c>
      <c r="N72" s="74">
        <f t="shared" si="4"/>
        <v>5150</v>
      </c>
    </row>
    <row r="73" spans="2:14" x14ac:dyDescent="0.25">
      <c r="B73" s="64" t="s">
        <v>260</v>
      </c>
      <c r="C73" s="64" t="s">
        <v>165</v>
      </c>
      <c r="D73" s="72">
        <v>47</v>
      </c>
      <c r="E73" s="72">
        <v>33</v>
      </c>
      <c r="F73" s="72">
        <v>22</v>
      </c>
      <c r="G73" s="72">
        <v>17</v>
      </c>
      <c r="L73" s="65">
        <v>66</v>
      </c>
      <c r="M73" s="70">
        <f t="shared" si="2"/>
        <v>2850</v>
      </c>
      <c r="N73" s="74">
        <f t="shared" si="4"/>
        <v>5200</v>
      </c>
    </row>
    <row r="74" spans="2:14" x14ac:dyDescent="0.25">
      <c r="B74" s="64" t="s">
        <v>261</v>
      </c>
      <c r="C74" s="64" t="s">
        <v>165</v>
      </c>
      <c r="D74" s="72">
        <v>108</v>
      </c>
      <c r="E74" s="72">
        <v>80</v>
      </c>
      <c r="F74" s="72">
        <v>57</v>
      </c>
      <c r="G74" s="72">
        <v>45</v>
      </c>
      <c r="L74" s="65">
        <v>67</v>
      </c>
      <c r="M74" s="70">
        <f t="shared" si="2"/>
        <v>2890</v>
      </c>
      <c r="N74" s="74">
        <f t="shared" si="4"/>
        <v>5250</v>
      </c>
    </row>
    <row r="75" spans="2:14" x14ac:dyDescent="0.25">
      <c r="B75" s="64" t="s">
        <v>262</v>
      </c>
      <c r="C75" s="64" t="s">
        <v>165</v>
      </c>
      <c r="D75" s="72">
        <v>77</v>
      </c>
      <c r="E75" s="72">
        <v>57</v>
      </c>
      <c r="F75" s="72">
        <v>40</v>
      </c>
      <c r="G75" s="72">
        <v>32</v>
      </c>
      <c r="L75" s="65">
        <v>68</v>
      </c>
      <c r="M75" s="70">
        <f t="shared" si="2"/>
        <v>2930</v>
      </c>
      <c r="N75" s="74">
        <f t="shared" si="4"/>
        <v>5300</v>
      </c>
    </row>
    <row r="76" spans="2:14" x14ac:dyDescent="0.25">
      <c r="B76" s="64" t="s">
        <v>263</v>
      </c>
      <c r="C76" s="64" t="s">
        <v>165</v>
      </c>
      <c r="D76" s="72">
        <v>47</v>
      </c>
      <c r="E76" s="72">
        <v>33</v>
      </c>
      <c r="F76" s="72">
        <v>22</v>
      </c>
      <c r="G76" s="72">
        <v>17</v>
      </c>
      <c r="L76" s="65">
        <v>69</v>
      </c>
      <c r="M76" s="70">
        <f t="shared" si="2"/>
        <v>2970</v>
      </c>
      <c r="N76" s="74">
        <f t="shared" si="4"/>
        <v>5350</v>
      </c>
    </row>
    <row r="77" spans="2:14" x14ac:dyDescent="0.25">
      <c r="B77" s="64" t="s">
        <v>264</v>
      </c>
      <c r="C77" s="64" t="s">
        <v>165</v>
      </c>
      <c r="D77" s="72">
        <v>77</v>
      </c>
      <c r="E77" s="72">
        <v>57</v>
      </c>
      <c r="F77" s="72">
        <v>40</v>
      </c>
      <c r="G77" s="72">
        <v>32</v>
      </c>
      <c r="L77" s="65">
        <v>70</v>
      </c>
      <c r="M77" s="70">
        <f t="shared" si="2"/>
        <v>3010</v>
      </c>
      <c r="N77" s="74">
        <f t="shared" si="4"/>
        <v>5400</v>
      </c>
    </row>
    <row r="78" spans="2:14" x14ac:dyDescent="0.25">
      <c r="B78" s="64" t="s">
        <v>265</v>
      </c>
      <c r="C78" s="64" t="s">
        <v>165</v>
      </c>
      <c r="D78" s="72">
        <v>108</v>
      </c>
      <c r="E78" s="72">
        <v>80</v>
      </c>
      <c r="F78" s="72">
        <v>57</v>
      </c>
      <c r="G78" s="72">
        <v>45</v>
      </c>
      <c r="L78" s="65">
        <v>71</v>
      </c>
      <c r="M78" s="70">
        <f t="shared" si="2"/>
        <v>3050</v>
      </c>
      <c r="N78" s="74">
        <f t="shared" si="4"/>
        <v>5450</v>
      </c>
    </row>
    <row r="79" spans="2:14" x14ac:dyDescent="0.25">
      <c r="B79" s="64" t="s">
        <v>266</v>
      </c>
      <c r="C79" s="64" t="s">
        <v>165</v>
      </c>
      <c r="D79" s="72">
        <v>77</v>
      </c>
      <c r="E79" s="72">
        <v>57</v>
      </c>
      <c r="F79" s="72">
        <v>40</v>
      </c>
      <c r="G79" s="72">
        <v>32</v>
      </c>
      <c r="L79" s="65">
        <v>72</v>
      </c>
      <c r="M79" s="70">
        <f t="shared" si="2"/>
        <v>3090</v>
      </c>
      <c r="N79" s="74">
        <f t="shared" si="4"/>
        <v>5500</v>
      </c>
    </row>
    <row r="80" spans="2:14" x14ac:dyDescent="0.25">
      <c r="B80" s="64" t="s">
        <v>267</v>
      </c>
      <c r="C80" s="64" t="s">
        <v>165</v>
      </c>
      <c r="D80" s="72">
        <v>47</v>
      </c>
      <c r="E80" s="72">
        <v>33</v>
      </c>
      <c r="F80" s="72">
        <v>22</v>
      </c>
      <c r="G80" s="72">
        <v>17</v>
      </c>
      <c r="L80" s="65">
        <v>73</v>
      </c>
      <c r="M80" s="70">
        <f t="shared" si="2"/>
        <v>3130</v>
      </c>
      <c r="N80" s="74">
        <f t="shared" si="4"/>
        <v>5550</v>
      </c>
    </row>
    <row r="81" spans="2:14" x14ac:dyDescent="0.25">
      <c r="B81" s="64" t="s">
        <v>268</v>
      </c>
      <c r="C81" s="64" t="s">
        <v>165</v>
      </c>
      <c r="D81" s="72">
        <v>77</v>
      </c>
      <c r="E81" s="72">
        <v>57</v>
      </c>
      <c r="F81" s="72">
        <v>40</v>
      </c>
      <c r="G81" s="72">
        <v>32</v>
      </c>
      <c r="L81" s="65">
        <v>74</v>
      </c>
      <c r="M81" s="70">
        <f t="shared" si="2"/>
        <v>3170</v>
      </c>
      <c r="N81" s="74">
        <f t="shared" si="4"/>
        <v>5600</v>
      </c>
    </row>
    <row r="82" spans="2:14" x14ac:dyDescent="0.25">
      <c r="B82" s="64" t="s">
        <v>269</v>
      </c>
      <c r="C82" s="64" t="s">
        <v>165</v>
      </c>
      <c r="D82" s="72">
        <v>47</v>
      </c>
      <c r="E82" s="72">
        <v>33</v>
      </c>
      <c r="F82" s="72">
        <v>22</v>
      </c>
      <c r="G82" s="72">
        <v>17</v>
      </c>
      <c r="L82" s="65">
        <v>75</v>
      </c>
      <c r="M82" s="70">
        <f t="shared" si="2"/>
        <v>3210</v>
      </c>
      <c r="N82" s="74">
        <f t="shared" si="4"/>
        <v>5650</v>
      </c>
    </row>
    <row r="83" spans="2:14" x14ac:dyDescent="0.25">
      <c r="B83" s="64" t="s">
        <v>270</v>
      </c>
      <c r="C83" s="64" t="s">
        <v>165</v>
      </c>
      <c r="D83" s="72">
        <v>77</v>
      </c>
      <c r="E83" s="72">
        <v>57</v>
      </c>
      <c r="F83" s="72">
        <v>40</v>
      </c>
      <c r="G83" s="72">
        <v>32</v>
      </c>
      <c r="L83" s="65">
        <v>76</v>
      </c>
      <c r="M83" s="70">
        <f t="shared" si="2"/>
        <v>3250</v>
      </c>
      <c r="N83" s="74">
        <f t="shared" si="4"/>
        <v>5700</v>
      </c>
    </row>
    <row r="84" spans="2:14" x14ac:dyDescent="0.25">
      <c r="B84" s="64" t="s">
        <v>271</v>
      </c>
      <c r="C84" s="64" t="s">
        <v>165</v>
      </c>
      <c r="D84" s="72">
        <v>47</v>
      </c>
      <c r="E84" s="72">
        <v>33</v>
      </c>
      <c r="F84" s="72">
        <v>22</v>
      </c>
      <c r="G84" s="72">
        <v>17</v>
      </c>
      <c r="L84" s="65">
        <v>77</v>
      </c>
      <c r="M84" s="70">
        <f t="shared" si="2"/>
        <v>3290</v>
      </c>
      <c r="N84" s="74">
        <f t="shared" si="4"/>
        <v>5750</v>
      </c>
    </row>
    <row r="85" spans="2:14" x14ac:dyDescent="0.25">
      <c r="B85" s="64" t="s">
        <v>272</v>
      </c>
      <c r="C85" s="64" t="s">
        <v>165</v>
      </c>
      <c r="D85" s="72">
        <v>47</v>
      </c>
      <c r="E85" s="72">
        <v>33</v>
      </c>
      <c r="F85" s="72">
        <v>22</v>
      </c>
      <c r="G85" s="72">
        <v>17</v>
      </c>
      <c r="L85" s="65">
        <v>78</v>
      </c>
      <c r="M85" s="70">
        <f t="shared" si="2"/>
        <v>3330</v>
      </c>
      <c r="N85" s="74">
        <f t="shared" si="4"/>
        <v>5800</v>
      </c>
    </row>
    <row r="86" spans="2:14" x14ac:dyDescent="0.25">
      <c r="B86" s="64" t="s">
        <v>273</v>
      </c>
      <c r="C86" s="64" t="s">
        <v>165</v>
      </c>
      <c r="D86" s="72">
        <v>47</v>
      </c>
      <c r="E86" s="72">
        <v>33</v>
      </c>
      <c r="F86" s="72">
        <v>22</v>
      </c>
      <c r="G86" s="72">
        <v>17</v>
      </c>
      <c r="L86" s="65">
        <v>79</v>
      </c>
      <c r="M86" s="70">
        <f t="shared" si="2"/>
        <v>3370</v>
      </c>
      <c r="N86" s="74">
        <f t="shared" si="4"/>
        <v>5850</v>
      </c>
    </row>
    <row r="87" spans="2:14" x14ac:dyDescent="0.25">
      <c r="B87" s="64" t="s">
        <v>274</v>
      </c>
      <c r="C87" s="64" t="s">
        <v>165</v>
      </c>
      <c r="D87" s="72">
        <v>47</v>
      </c>
      <c r="E87" s="72">
        <v>33</v>
      </c>
      <c r="F87" s="72">
        <v>22</v>
      </c>
      <c r="G87" s="72">
        <v>17</v>
      </c>
      <c r="L87" s="65">
        <v>80</v>
      </c>
      <c r="M87" s="70">
        <f t="shared" ref="M87:M97" si="5">((L87-$L$21)*40)+770</f>
        <v>3410</v>
      </c>
      <c r="N87" s="74">
        <f t="shared" si="4"/>
        <v>5900</v>
      </c>
    </row>
    <row r="88" spans="2:14" x14ac:dyDescent="0.25">
      <c r="B88" s="64" t="s">
        <v>275</v>
      </c>
      <c r="C88" s="64" t="s">
        <v>165</v>
      </c>
      <c r="D88" s="72">
        <v>108</v>
      </c>
      <c r="E88" s="72">
        <v>80</v>
      </c>
      <c r="F88" s="72">
        <v>57</v>
      </c>
      <c r="G88" s="72">
        <v>45</v>
      </c>
      <c r="L88" s="65">
        <v>81</v>
      </c>
      <c r="M88" s="70">
        <f t="shared" si="5"/>
        <v>3450</v>
      </c>
      <c r="N88" s="74">
        <f t="shared" si="4"/>
        <v>5950</v>
      </c>
    </row>
    <row r="89" spans="2:14" x14ac:dyDescent="0.25">
      <c r="B89" s="64" t="s">
        <v>276</v>
      </c>
      <c r="C89" s="64" t="s">
        <v>165</v>
      </c>
      <c r="D89" s="72">
        <v>47</v>
      </c>
      <c r="E89" s="72">
        <v>33</v>
      </c>
      <c r="F89" s="72">
        <v>22</v>
      </c>
      <c r="G89" s="72">
        <v>17</v>
      </c>
      <c r="L89" s="65">
        <v>82</v>
      </c>
      <c r="M89" s="70">
        <f t="shared" si="5"/>
        <v>3490</v>
      </c>
      <c r="N89" s="74">
        <f t="shared" si="4"/>
        <v>6000</v>
      </c>
    </row>
    <row r="90" spans="2:14" x14ac:dyDescent="0.25">
      <c r="B90" s="64" t="s">
        <v>277</v>
      </c>
      <c r="C90" s="64" t="s">
        <v>165</v>
      </c>
      <c r="D90" s="72">
        <v>77</v>
      </c>
      <c r="E90" s="72">
        <v>57</v>
      </c>
      <c r="F90" s="72">
        <v>40</v>
      </c>
      <c r="G90" s="72">
        <v>32</v>
      </c>
      <c r="L90" s="65">
        <v>83</v>
      </c>
      <c r="M90" s="70">
        <f t="shared" si="5"/>
        <v>3530</v>
      </c>
      <c r="N90" s="74">
        <f t="shared" si="4"/>
        <v>6050</v>
      </c>
    </row>
    <row r="91" spans="2:14" x14ac:dyDescent="0.25">
      <c r="B91" s="64" t="s">
        <v>278</v>
      </c>
      <c r="C91" s="64" t="s">
        <v>165</v>
      </c>
      <c r="D91" s="72">
        <v>47</v>
      </c>
      <c r="E91" s="72">
        <v>33</v>
      </c>
      <c r="F91" s="72">
        <v>22</v>
      </c>
      <c r="G91" s="72">
        <v>17</v>
      </c>
      <c r="L91" s="65">
        <v>84</v>
      </c>
      <c r="M91" s="70">
        <f t="shared" si="5"/>
        <v>3570</v>
      </c>
      <c r="N91" s="74">
        <f t="shared" si="4"/>
        <v>6100</v>
      </c>
    </row>
    <row r="92" spans="2:14" x14ac:dyDescent="0.25">
      <c r="B92" s="64" t="s">
        <v>279</v>
      </c>
      <c r="C92" s="64" t="s">
        <v>165</v>
      </c>
      <c r="D92" s="72">
        <v>108</v>
      </c>
      <c r="E92" s="72">
        <v>80</v>
      </c>
      <c r="F92" s="72">
        <v>57</v>
      </c>
      <c r="G92" s="72">
        <v>45</v>
      </c>
      <c r="L92" s="65">
        <v>85</v>
      </c>
      <c r="M92" s="70">
        <f t="shared" si="5"/>
        <v>3610</v>
      </c>
      <c r="N92" s="74">
        <f t="shared" si="4"/>
        <v>6150</v>
      </c>
    </row>
    <row r="93" spans="2:14" x14ac:dyDescent="0.25">
      <c r="B93" s="64" t="s">
        <v>280</v>
      </c>
      <c r="C93" s="64" t="s">
        <v>165</v>
      </c>
      <c r="D93" s="72">
        <v>77</v>
      </c>
      <c r="E93" s="72">
        <v>57</v>
      </c>
      <c r="F93" s="72">
        <v>40</v>
      </c>
      <c r="G93" s="72">
        <v>32</v>
      </c>
      <c r="L93" s="65">
        <v>86</v>
      </c>
      <c r="M93" s="70">
        <f t="shared" si="5"/>
        <v>3650</v>
      </c>
      <c r="N93" s="74">
        <f t="shared" si="4"/>
        <v>6200</v>
      </c>
    </row>
    <row r="94" spans="2:14" x14ac:dyDescent="0.25">
      <c r="B94" s="64" t="s">
        <v>281</v>
      </c>
      <c r="C94" s="64" t="s">
        <v>165</v>
      </c>
      <c r="D94" s="72">
        <v>47</v>
      </c>
      <c r="E94" s="72">
        <v>33</v>
      </c>
      <c r="F94" s="72">
        <v>22</v>
      </c>
      <c r="G94" s="72">
        <v>17</v>
      </c>
      <c r="L94" s="65">
        <v>87</v>
      </c>
      <c r="M94" s="70">
        <f t="shared" si="5"/>
        <v>3690</v>
      </c>
      <c r="N94" s="74">
        <f t="shared" si="4"/>
        <v>6250</v>
      </c>
    </row>
    <row r="95" spans="2:14" x14ac:dyDescent="0.25">
      <c r="B95" s="64" t="s">
        <v>282</v>
      </c>
      <c r="C95" s="64" t="s">
        <v>165</v>
      </c>
      <c r="D95" s="72">
        <v>77</v>
      </c>
      <c r="E95" s="72">
        <v>57</v>
      </c>
      <c r="F95" s="72">
        <v>40</v>
      </c>
      <c r="G95" s="72">
        <v>32</v>
      </c>
      <c r="L95" s="65">
        <v>88</v>
      </c>
      <c r="M95" s="70">
        <f t="shared" si="5"/>
        <v>3730</v>
      </c>
      <c r="N95" s="74">
        <f t="shared" si="4"/>
        <v>6300</v>
      </c>
    </row>
    <row r="96" spans="2:14" x14ac:dyDescent="0.25">
      <c r="B96" s="64" t="s">
        <v>283</v>
      </c>
      <c r="C96" s="64" t="s">
        <v>165</v>
      </c>
      <c r="D96" s="72">
        <v>47</v>
      </c>
      <c r="E96" s="72">
        <v>33</v>
      </c>
      <c r="F96" s="72">
        <v>22</v>
      </c>
      <c r="G96" s="72">
        <v>17</v>
      </c>
      <c r="L96" s="65">
        <v>89</v>
      </c>
      <c r="M96" s="70">
        <f t="shared" si="5"/>
        <v>3770</v>
      </c>
      <c r="N96" s="74">
        <f t="shared" si="4"/>
        <v>6350</v>
      </c>
    </row>
    <row r="97" spans="2:14" x14ac:dyDescent="0.25">
      <c r="B97" s="64" t="s">
        <v>284</v>
      </c>
      <c r="C97" s="64" t="s">
        <v>165</v>
      </c>
      <c r="D97" s="72">
        <v>77</v>
      </c>
      <c r="E97" s="72">
        <v>57</v>
      </c>
      <c r="F97" s="72">
        <v>40</v>
      </c>
      <c r="G97" s="72">
        <v>32</v>
      </c>
      <c r="L97" s="65">
        <v>90</v>
      </c>
      <c r="M97" s="70">
        <f t="shared" si="5"/>
        <v>3810</v>
      </c>
      <c r="N97" s="74">
        <f t="shared" si="4"/>
        <v>6400</v>
      </c>
    </row>
    <row r="98" spans="2:14" x14ac:dyDescent="0.25">
      <c r="B98" s="64" t="s">
        <v>285</v>
      </c>
      <c r="C98" s="64" t="s">
        <v>165</v>
      </c>
      <c r="D98" s="72">
        <v>47</v>
      </c>
      <c r="E98" s="72">
        <v>33</v>
      </c>
      <c r="F98" s="72">
        <v>22</v>
      </c>
      <c r="G98" s="72">
        <v>17</v>
      </c>
    </row>
    <row r="99" spans="2:14" x14ac:dyDescent="0.25">
      <c r="B99" s="64" t="s">
        <v>286</v>
      </c>
      <c r="C99" s="64" t="s">
        <v>165</v>
      </c>
      <c r="D99" s="72">
        <v>47</v>
      </c>
      <c r="E99" s="72">
        <v>33</v>
      </c>
      <c r="F99" s="72">
        <v>22</v>
      </c>
      <c r="G99" s="72">
        <v>17</v>
      </c>
    </row>
    <row r="100" spans="2:14" x14ac:dyDescent="0.25">
      <c r="B100" s="64" t="s">
        <v>287</v>
      </c>
      <c r="C100" s="64" t="s">
        <v>165</v>
      </c>
      <c r="D100" s="72">
        <v>47</v>
      </c>
      <c r="E100" s="72">
        <v>33</v>
      </c>
      <c r="F100" s="72">
        <v>22</v>
      </c>
      <c r="G100" s="72">
        <v>17</v>
      </c>
    </row>
    <row r="101" spans="2:14" x14ac:dyDescent="0.25">
      <c r="B101" s="64" t="s">
        <v>288</v>
      </c>
      <c r="C101" s="64" t="s">
        <v>165</v>
      </c>
      <c r="D101" s="72">
        <v>77</v>
      </c>
      <c r="E101" s="72">
        <v>57</v>
      </c>
      <c r="F101" s="72">
        <v>40</v>
      </c>
      <c r="G101" s="72">
        <v>32</v>
      </c>
    </row>
    <row r="102" spans="2:14" x14ac:dyDescent="0.25">
      <c r="B102" s="64" t="s">
        <v>289</v>
      </c>
      <c r="C102" s="64" t="s">
        <v>165</v>
      </c>
      <c r="D102" s="72">
        <v>77</v>
      </c>
      <c r="E102" s="72">
        <v>57</v>
      </c>
      <c r="F102" s="72">
        <v>40</v>
      </c>
      <c r="G102" s="72">
        <v>32</v>
      </c>
    </row>
    <row r="103" spans="2:14" x14ac:dyDescent="0.25">
      <c r="B103" s="64" t="s">
        <v>290</v>
      </c>
      <c r="C103" s="64" t="s">
        <v>165</v>
      </c>
      <c r="D103" s="72">
        <v>166</v>
      </c>
      <c r="E103" s="72">
        <v>132</v>
      </c>
      <c r="F103" s="72">
        <v>102</v>
      </c>
      <c r="G103" s="72">
        <v>92</v>
      </c>
    </row>
    <row r="104" spans="2:14" x14ac:dyDescent="0.25">
      <c r="B104" s="64" t="s">
        <v>291</v>
      </c>
      <c r="C104" s="64" t="s">
        <v>165</v>
      </c>
      <c r="D104" s="72">
        <v>108</v>
      </c>
      <c r="E104" s="72">
        <v>80</v>
      </c>
      <c r="F104" s="72">
        <v>57</v>
      </c>
      <c r="G104" s="72">
        <v>45</v>
      </c>
    </row>
    <row r="105" spans="2:14" x14ac:dyDescent="0.25">
      <c r="B105" s="64" t="s">
        <v>292</v>
      </c>
      <c r="C105" s="64" t="s">
        <v>165</v>
      </c>
      <c r="D105" s="72">
        <v>77</v>
      </c>
      <c r="E105" s="72">
        <v>57</v>
      </c>
      <c r="F105" s="72">
        <v>40</v>
      </c>
      <c r="G105" s="72">
        <v>32</v>
      </c>
    </row>
    <row r="106" spans="2:14" x14ac:dyDescent="0.25">
      <c r="B106" s="64" t="s">
        <v>293</v>
      </c>
      <c r="C106" s="64" t="s">
        <v>165</v>
      </c>
      <c r="D106" s="72">
        <v>77</v>
      </c>
      <c r="E106" s="72">
        <v>57</v>
      </c>
      <c r="F106" s="72">
        <v>40</v>
      </c>
      <c r="G106" s="72">
        <v>32</v>
      </c>
    </row>
    <row r="107" spans="2:14" x14ac:dyDescent="0.25">
      <c r="B107" s="64" t="s">
        <v>294</v>
      </c>
      <c r="C107" s="64" t="s">
        <v>165</v>
      </c>
      <c r="D107" s="72">
        <v>77</v>
      </c>
      <c r="E107" s="72">
        <v>57</v>
      </c>
      <c r="F107" s="72">
        <v>40</v>
      </c>
      <c r="G107" s="72">
        <v>32</v>
      </c>
    </row>
    <row r="108" spans="2:14" x14ac:dyDescent="0.25">
      <c r="B108" s="64" t="s">
        <v>295</v>
      </c>
      <c r="C108" s="64" t="s">
        <v>165</v>
      </c>
      <c r="D108" s="72">
        <v>77</v>
      </c>
      <c r="E108" s="72">
        <v>57</v>
      </c>
      <c r="F108" s="72">
        <v>40</v>
      </c>
      <c r="G108" s="72">
        <v>32</v>
      </c>
    </row>
    <row r="109" spans="2:14" x14ac:dyDescent="0.25">
      <c r="B109" s="64" t="s">
        <v>296</v>
      </c>
      <c r="C109" s="64" t="s">
        <v>165</v>
      </c>
      <c r="D109" s="72">
        <v>47</v>
      </c>
      <c r="E109" s="72">
        <v>33</v>
      </c>
      <c r="F109" s="72">
        <v>22</v>
      </c>
      <c r="G109" s="72">
        <v>17</v>
      </c>
    </row>
    <row r="110" spans="2:14" x14ac:dyDescent="0.25">
      <c r="B110" s="64" t="s">
        <v>297</v>
      </c>
      <c r="C110" s="64" t="s">
        <v>165</v>
      </c>
      <c r="D110" s="72">
        <v>108</v>
      </c>
      <c r="E110" s="72">
        <v>80</v>
      </c>
      <c r="F110" s="72">
        <v>57</v>
      </c>
      <c r="G110" s="72">
        <v>45</v>
      </c>
    </row>
    <row r="111" spans="2:14" x14ac:dyDescent="0.25">
      <c r="B111" s="64" t="s">
        <v>298</v>
      </c>
      <c r="C111" s="64" t="s">
        <v>165</v>
      </c>
      <c r="D111" s="72">
        <v>47</v>
      </c>
      <c r="E111" s="72">
        <v>33</v>
      </c>
      <c r="F111" s="72">
        <v>22</v>
      </c>
      <c r="G111" s="72">
        <v>17</v>
      </c>
    </row>
    <row r="112" spans="2:14" x14ac:dyDescent="0.25">
      <c r="B112" s="64" t="s">
        <v>299</v>
      </c>
      <c r="C112" s="64" t="s">
        <v>165</v>
      </c>
      <c r="D112" s="72">
        <v>47</v>
      </c>
      <c r="E112" s="72">
        <v>33</v>
      </c>
      <c r="F112" s="72">
        <v>22</v>
      </c>
      <c r="G112" s="72">
        <v>17</v>
      </c>
    </row>
    <row r="113" spans="2:7" x14ac:dyDescent="0.25">
      <c r="B113" s="64" t="s">
        <v>300</v>
      </c>
      <c r="C113" s="64" t="s">
        <v>165</v>
      </c>
      <c r="D113" s="72">
        <v>108</v>
      </c>
      <c r="E113" s="72">
        <v>80</v>
      </c>
      <c r="F113" s="72">
        <v>57</v>
      </c>
      <c r="G113" s="72">
        <v>45</v>
      </c>
    </row>
    <row r="114" spans="2:7" x14ac:dyDescent="0.25">
      <c r="B114" s="64" t="s">
        <v>301</v>
      </c>
      <c r="C114" s="64" t="s">
        <v>165</v>
      </c>
      <c r="D114" s="72">
        <v>47</v>
      </c>
      <c r="E114" s="72">
        <v>33</v>
      </c>
      <c r="F114" s="72">
        <v>22</v>
      </c>
      <c r="G114" s="72">
        <v>17</v>
      </c>
    </row>
    <row r="115" spans="2:7" x14ac:dyDescent="0.25">
      <c r="B115" s="64" t="s">
        <v>302</v>
      </c>
      <c r="C115" s="64" t="s">
        <v>165</v>
      </c>
      <c r="D115" s="72">
        <v>47</v>
      </c>
      <c r="E115" s="72">
        <v>33</v>
      </c>
      <c r="F115" s="72">
        <v>22</v>
      </c>
      <c r="G115" s="72">
        <v>17</v>
      </c>
    </row>
    <row r="116" spans="2:7" x14ac:dyDescent="0.25">
      <c r="B116" s="64" t="s">
        <v>303</v>
      </c>
      <c r="C116" s="64" t="s">
        <v>165</v>
      </c>
      <c r="D116" s="72">
        <v>108</v>
      </c>
      <c r="E116" s="72">
        <v>80</v>
      </c>
      <c r="F116" s="72">
        <v>57</v>
      </c>
      <c r="G116" s="72">
        <v>45</v>
      </c>
    </row>
    <row r="117" spans="2:7" x14ac:dyDescent="0.25">
      <c r="B117" s="64" t="s">
        <v>304</v>
      </c>
      <c r="C117" s="64" t="s">
        <v>165</v>
      </c>
      <c r="D117" s="72">
        <v>47</v>
      </c>
      <c r="E117" s="72">
        <v>33</v>
      </c>
      <c r="F117" s="72">
        <v>22</v>
      </c>
      <c r="G117" s="72">
        <v>17</v>
      </c>
    </row>
    <row r="118" spans="2:7" x14ac:dyDescent="0.25">
      <c r="B118" s="64" t="s">
        <v>305</v>
      </c>
      <c r="C118" s="64" t="s">
        <v>165</v>
      </c>
      <c r="D118" s="72">
        <v>47</v>
      </c>
      <c r="E118" s="72">
        <v>33</v>
      </c>
      <c r="F118" s="72">
        <v>22</v>
      </c>
      <c r="G118" s="72">
        <v>17</v>
      </c>
    </row>
    <row r="119" spans="2:7" x14ac:dyDescent="0.25">
      <c r="B119" s="64" t="s">
        <v>306</v>
      </c>
      <c r="C119" s="64" t="s">
        <v>165</v>
      </c>
      <c r="D119" s="72">
        <v>47</v>
      </c>
      <c r="E119" s="72">
        <v>33</v>
      </c>
      <c r="F119" s="72">
        <v>22</v>
      </c>
      <c r="G119" s="72">
        <v>17</v>
      </c>
    </row>
    <row r="120" spans="2:7" x14ac:dyDescent="0.25">
      <c r="B120" s="64" t="s">
        <v>307</v>
      </c>
      <c r="C120" s="64" t="s">
        <v>165</v>
      </c>
      <c r="D120" s="72">
        <v>47</v>
      </c>
      <c r="E120" s="72">
        <v>33</v>
      </c>
      <c r="F120" s="72">
        <v>22</v>
      </c>
      <c r="G120" s="72">
        <v>17</v>
      </c>
    </row>
    <row r="121" spans="2:7" x14ac:dyDescent="0.25">
      <c r="B121" s="64" t="s">
        <v>308</v>
      </c>
      <c r="C121" s="64" t="s">
        <v>165</v>
      </c>
      <c r="D121" s="72">
        <v>47</v>
      </c>
      <c r="E121" s="72">
        <v>33</v>
      </c>
      <c r="F121" s="72">
        <v>22</v>
      </c>
      <c r="G121" s="72">
        <v>17</v>
      </c>
    </row>
    <row r="122" spans="2:7" x14ac:dyDescent="0.25">
      <c r="B122" s="64" t="s">
        <v>309</v>
      </c>
      <c r="C122" s="64" t="s">
        <v>165</v>
      </c>
      <c r="D122" s="72">
        <v>47</v>
      </c>
      <c r="E122" s="72">
        <v>33</v>
      </c>
      <c r="F122" s="72">
        <v>22</v>
      </c>
      <c r="G122" s="72">
        <v>17</v>
      </c>
    </row>
    <row r="123" spans="2:7" x14ac:dyDescent="0.25">
      <c r="B123" s="64" t="s">
        <v>310</v>
      </c>
      <c r="C123" s="64" t="s">
        <v>165</v>
      </c>
      <c r="D123" s="72">
        <v>47</v>
      </c>
      <c r="E123" s="72">
        <v>33</v>
      </c>
      <c r="F123" s="72">
        <v>22</v>
      </c>
      <c r="G123" s="72">
        <v>17</v>
      </c>
    </row>
    <row r="124" spans="2:7" x14ac:dyDescent="0.25">
      <c r="B124" s="64" t="s">
        <v>311</v>
      </c>
      <c r="C124" s="64" t="s">
        <v>165</v>
      </c>
      <c r="D124" s="72">
        <v>47</v>
      </c>
      <c r="E124" s="72">
        <v>33</v>
      </c>
      <c r="F124" s="72">
        <v>22</v>
      </c>
      <c r="G124" s="72">
        <v>17</v>
      </c>
    </row>
    <row r="125" spans="2:7" x14ac:dyDescent="0.25">
      <c r="B125" s="64" t="s">
        <v>312</v>
      </c>
      <c r="C125" s="64" t="s">
        <v>165</v>
      </c>
      <c r="D125" s="72">
        <v>108</v>
      </c>
      <c r="E125" s="72">
        <v>80</v>
      </c>
      <c r="F125" s="72">
        <v>57</v>
      </c>
      <c r="G125" s="72">
        <v>45</v>
      </c>
    </row>
    <row r="126" spans="2:7" x14ac:dyDescent="0.25">
      <c r="B126" s="64" t="s">
        <v>313</v>
      </c>
      <c r="C126" s="64" t="s">
        <v>165</v>
      </c>
      <c r="D126" s="72">
        <v>77</v>
      </c>
      <c r="E126" s="72">
        <v>57</v>
      </c>
      <c r="F126" s="72">
        <v>40</v>
      </c>
      <c r="G126" s="72">
        <v>32</v>
      </c>
    </row>
    <row r="127" spans="2:7" x14ac:dyDescent="0.25">
      <c r="B127" s="64" t="s">
        <v>314</v>
      </c>
      <c r="C127" s="64" t="s">
        <v>165</v>
      </c>
      <c r="D127" s="72">
        <v>47</v>
      </c>
      <c r="E127" s="72">
        <v>33</v>
      </c>
      <c r="F127" s="72">
        <v>22</v>
      </c>
      <c r="G127" s="72">
        <v>17</v>
      </c>
    </row>
    <row r="128" spans="2:7" x14ac:dyDescent="0.25">
      <c r="B128" s="64" t="s">
        <v>315</v>
      </c>
      <c r="C128" s="64" t="s">
        <v>165</v>
      </c>
      <c r="D128" s="72">
        <v>47</v>
      </c>
      <c r="E128" s="72">
        <v>33</v>
      </c>
      <c r="F128" s="72">
        <v>22</v>
      </c>
      <c r="G128" s="72">
        <v>17</v>
      </c>
    </row>
    <row r="129" spans="2:7" x14ac:dyDescent="0.25">
      <c r="B129" s="64" t="s">
        <v>38</v>
      </c>
      <c r="C129" s="64" t="s">
        <v>165</v>
      </c>
      <c r="D129" s="72">
        <v>108</v>
      </c>
      <c r="E129" s="72">
        <v>80</v>
      </c>
      <c r="F129" s="72">
        <v>57</v>
      </c>
      <c r="G129" s="72">
        <v>45</v>
      </c>
    </row>
    <row r="130" spans="2:7" x14ac:dyDescent="0.25">
      <c r="B130" s="64" t="s">
        <v>316</v>
      </c>
      <c r="C130" s="64" t="s">
        <v>165</v>
      </c>
      <c r="D130" s="72">
        <v>77</v>
      </c>
      <c r="E130" s="72">
        <v>57</v>
      </c>
      <c r="F130" s="72">
        <v>40</v>
      </c>
      <c r="G130" s="72">
        <v>32</v>
      </c>
    </row>
    <row r="131" spans="2:7" x14ac:dyDescent="0.25">
      <c r="B131" s="64" t="s">
        <v>317</v>
      </c>
      <c r="C131" s="64" t="s">
        <v>165</v>
      </c>
      <c r="D131" s="72">
        <v>77</v>
      </c>
      <c r="E131" s="72">
        <v>57</v>
      </c>
      <c r="F131" s="72">
        <v>40</v>
      </c>
      <c r="G131" s="72">
        <v>32</v>
      </c>
    </row>
    <row r="132" spans="2:7" x14ac:dyDescent="0.25">
      <c r="B132" s="64" t="s">
        <v>318</v>
      </c>
      <c r="C132" s="64" t="s">
        <v>165</v>
      </c>
      <c r="D132" s="72">
        <v>47</v>
      </c>
      <c r="E132" s="72">
        <v>33</v>
      </c>
      <c r="F132" s="72">
        <v>22</v>
      </c>
      <c r="G132" s="72">
        <v>17</v>
      </c>
    </row>
    <row r="133" spans="2:7" x14ac:dyDescent="0.25">
      <c r="B133" s="64" t="s">
        <v>319</v>
      </c>
      <c r="C133" s="64" t="s">
        <v>165</v>
      </c>
      <c r="D133" s="72">
        <v>77</v>
      </c>
      <c r="E133" s="72">
        <v>57</v>
      </c>
      <c r="F133" s="72">
        <v>40</v>
      </c>
      <c r="G133" s="72">
        <v>32</v>
      </c>
    </row>
    <row r="134" spans="2:7" x14ac:dyDescent="0.25">
      <c r="B134" s="64" t="s">
        <v>320</v>
      </c>
      <c r="C134" s="64" t="s">
        <v>165</v>
      </c>
      <c r="D134" s="72">
        <v>47</v>
      </c>
      <c r="E134" s="72">
        <v>33</v>
      </c>
      <c r="F134" s="72">
        <v>22</v>
      </c>
      <c r="G134" s="72">
        <v>17</v>
      </c>
    </row>
    <row r="135" spans="2:7" x14ac:dyDescent="0.25">
      <c r="B135" s="64" t="s">
        <v>321</v>
      </c>
      <c r="C135" s="64" t="s">
        <v>165</v>
      </c>
      <c r="D135" s="72">
        <v>47</v>
      </c>
      <c r="E135" s="72">
        <v>33</v>
      </c>
      <c r="F135" s="72">
        <v>22</v>
      </c>
      <c r="G135" s="72">
        <v>17</v>
      </c>
    </row>
    <row r="136" spans="2:7" x14ac:dyDescent="0.25">
      <c r="B136" s="64" t="s">
        <v>322</v>
      </c>
      <c r="C136" s="64" t="s">
        <v>165</v>
      </c>
      <c r="D136" s="72">
        <v>47</v>
      </c>
      <c r="E136" s="72">
        <v>33</v>
      </c>
      <c r="F136" s="72">
        <v>22</v>
      </c>
      <c r="G136" s="72">
        <v>17</v>
      </c>
    </row>
    <row r="137" spans="2:7" x14ac:dyDescent="0.25">
      <c r="B137" s="64" t="s">
        <v>323</v>
      </c>
      <c r="C137" s="64" t="s">
        <v>165</v>
      </c>
      <c r="D137" s="72">
        <v>47</v>
      </c>
      <c r="E137" s="72">
        <v>33</v>
      </c>
      <c r="F137" s="72">
        <v>22</v>
      </c>
      <c r="G137" s="72">
        <v>17</v>
      </c>
    </row>
    <row r="138" spans="2:7" x14ac:dyDescent="0.25">
      <c r="B138" s="64" t="s">
        <v>324</v>
      </c>
      <c r="C138" s="64" t="s">
        <v>165</v>
      </c>
      <c r="D138" s="72">
        <v>108</v>
      </c>
      <c r="E138" s="72">
        <v>80</v>
      </c>
      <c r="F138" s="72">
        <v>57</v>
      </c>
      <c r="G138" s="72">
        <v>45</v>
      </c>
    </row>
    <row r="139" spans="2:7" x14ac:dyDescent="0.25">
      <c r="B139" s="64" t="s">
        <v>325</v>
      </c>
      <c r="C139" s="64" t="s">
        <v>165</v>
      </c>
      <c r="D139" s="72">
        <v>47</v>
      </c>
      <c r="E139" s="72">
        <v>33</v>
      </c>
      <c r="F139" s="72">
        <v>22</v>
      </c>
      <c r="G139" s="72">
        <v>17</v>
      </c>
    </row>
    <row r="140" spans="2:7" x14ac:dyDescent="0.25">
      <c r="B140" s="64" t="s">
        <v>326</v>
      </c>
      <c r="C140" s="64" t="s">
        <v>165</v>
      </c>
      <c r="D140" s="72">
        <v>47</v>
      </c>
      <c r="E140" s="72">
        <v>33</v>
      </c>
      <c r="F140" s="72">
        <v>22</v>
      </c>
      <c r="G140" s="72">
        <v>17</v>
      </c>
    </row>
    <row r="141" spans="2:7" x14ac:dyDescent="0.25">
      <c r="B141" s="64" t="s">
        <v>327</v>
      </c>
      <c r="C141" s="64" t="s">
        <v>165</v>
      </c>
      <c r="D141" s="72">
        <v>47</v>
      </c>
      <c r="E141" s="72">
        <v>33</v>
      </c>
      <c r="F141" s="72">
        <v>22</v>
      </c>
      <c r="G141" s="72">
        <v>17</v>
      </c>
    </row>
    <row r="142" spans="2:7" x14ac:dyDescent="0.25">
      <c r="B142" s="64" t="s">
        <v>328</v>
      </c>
      <c r="C142" s="64" t="s">
        <v>165</v>
      </c>
      <c r="D142" s="72">
        <v>77</v>
      </c>
      <c r="E142" s="72">
        <v>57</v>
      </c>
      <c r="F142" s="72">
        <v>40</v>
      </c>
      <c r="G142" s="72">
        <v>32</v>
      </c>
    </row>
    <row r="143" spans="2:7" x14ac:dyDescent="0.25">
      <c r="B143" s="64" t="s">
        <v>329</v>
      </c>
      <c r="C143" s="64" t="s">
        <v>165</v>
      </c>
      <c r="D143" s="72">
        <v>77</v>
      </c>
      <c r="E143" s="72">
        <v>57</v>
      </c>
      <c r="F143" s="72">
        <v>40</v>
      </c>
      <c r="G143" s="72">
        <v>32</v>
      </c>
    </row>
    <row r="144" spans="2:7" x14ac:dyDescent="0.25">
      <c r="B144" s="64" t="s">
        <v>330</v>
      </c>
      <c r="C144" s="64" t="s">
        <v>165</v>
      </c>
      <c r="D144" s="72">
        <v>77</v>
      </c>
      <c r="E144" s="72">
        <v>57</v>
      </c>
      <c r="F144" s="72">
        <v>40</v>
      </c>
      <c r="G144" s="72">
        <v>32</v>
      </c>
    </row>
    <row r="145" spans="2:7" x14ac:dyDescent="0.25">
      <c r="B145" s="64" t="s">
        <v>331</v>
      </c>
      <c r="C145" s="64" t="s">
        <v>165</v>
      </c>
      <c r="D145" s="72">
        <v>77</v>
      </c>
      <c r="E145" s="72">
        <v>57</v>
      </c>
      <c r="F145" s="72">
        <v>40</v>
      </c>
      <c r="G145" s="72">
        <v>32</v>
      </c>
    </row>
    <row r="146" spans="2:7" x14ac:dyDescent="0.25">
      <c r="B146" s="64" t="s">
        <v>332</v>
      </c>
      <c r="C146" s="64" t="s">
        <v>165</v>
      </c>
      <c r="D146" s="72">
        <v>108</v>
      </c>
      <c r="E146" s="72">
        <v>80</v>
      </c>
      <c r="F146" s="72">
        <v>57</v>
      </c>
      <c r="G146" s="72">
        <v>45</v>
      </c>
    </row>
    <row r="147" spans="2:7" x14ac:dyDescent="0.25">
      <c r="B147" s="64" t="s">
        <v>333</v>
      </c>
      <c r="C147" s="64" t="s">
        <v>165</v>
      </c>
      <c r="D147" s="72">
        <v>47</v>
      </c>
      <c r="E147" s="72">
        <v>33</v>
      </c>
      <c r="F147" s="72">
        <v>22</v>
      </c>
      <c r="G147" s="72">
        <v>17</v>
      </c>
    </row>
    <row r="148" spans="2:7" x14ac:dyDescent="0.25">
      <c r="B148" s="64" t="s">
        <v>334</v>
      </c>
      <c r="C148" s="64" t="s">
        <v>165</v>
      </c>
      <c r="D148" s="72">
        <v>77</v>
      </c>
      <c r="E148" s="72">
        <v>57</v>
      </c>
      <c r="F148" s="72">
        <v>40</v>
      </c>
      <c r="G148" s="72">
        <v>32</v>
      </c>
    </row>
    <row r="149" spans="2:7" x14ac:dyDescent="0.25">
      <c r="B149" s="64" t="s">
        <v>335</v>
      </c>
      <c r="C149" s="64" t="s">
        <v>165</v>
      </c>
      <c r="D149" s="72">
        <v>47</v>
      </c>
      <c r="E149" s="72">
        <v>33</v>
      </c>
      <c r="F149" s="72">
        <v>22</v>
      </c>
      <c r="G149" s="72">
        <v>17</v>
      </c>
    </row>
    <row r="150" spans="2:7" x14ac:dyDescent="0.25">
      <c r="B150" s="64" t="s">
        <v>336</v>
      </c>
      <c r="C150" s="64" t="s">
        <v>165</v>
      </c>
      <c r="D150" s="72">
        <v>108</v>
      </c>
      <c r="E150" s="72">
        <v>80</v>
      </c>
      <c r="F150" s="72">
        <v>57</v>
      </c>
      <c r="G150" s="72">
        <v>45</v>
      </c>
    </row>
    <row r="151" spans="2:7" x14ac:dyDescent="0.25">
      <c r="B151" s="64" t="s">
        <v>337</v>
      </c>
      <c r="C151" s="64" t="s">
        <v>165</v>
      </c>
      <c r="D151" s="72">
        <v>108</v>
      </c>
      <c r="E151" s="72">
        <v>80</v>
      </c>
      <c r="F151" s="72">
        <v>57</v>
      </c>
      <c r="G151" s="72">
        <v>45</v>
      </c>
    </row>
    <row r="152" spans="2:7" x14ac:dyDescent="0.25">
      <c r="B152" s="64" t="s">
        <v>338</v>
      </c>
      <c r="C152" s="64" t="s">
        <v>165</v>
      </c>
      <c r="D152" s="72">
        <v>108</v>
      </c>
      <c r="E152" s="72">
        <v>80</v>
      </c>
      <c r="F152" s="72">
        <v>57</v>
      </c>
      <c r="G152" s="72">
        <v>45</v>
      </c>
    </row>
    <row r="153" spans="2:7" x14ac:dyDescent="0.25">
      <c r="B153" s="64" t="s">
        <v>339</v>
      </c>
      <c r="C153" s="64" t="s">
        <v>165</v>
      </c>
      <c r="D153" s="72">
        <v>47</v>
      </c>
      <c r="E153" s="72">
        <v>33</v>
      </c>
      <c r="F153" s="72">
        <v>22</v>
      </c>
      <c r="G153" s="72">
        <v>17</v>
      </c>
    </row>
    <row r="154" spans="2:7" x14ac:dyDescent="0.25">
      <c r="B154" s="64" t="s">
        <v>340</v>
      </c>
      <c r="C154" s="64" t="s">
        <v>165</v>
      </c>
      <c r="D154" s="72">
        <v>108</v>
      </c>
      <c r="E154" s="72">
        <v>80</v>
      </c>
      <c r="F154" s="72">
        <v>57</v>
      </c>
      <c r="G154" s="72">
        <v>45</v>
      </c>
    </row>
    <row r="155" spans="2:7" x14ac:dyDescent="0.25">
      <c r="B155" s="64" t="s">
        <v>341</v>
      </c>
      <c r="C155" s="64" t="s">
        <v>165</v>
      </c>
      <c r="D155" s="72">
        <v>77</v>
      </c>
      <c r="E155" s="72">
        <v>57</v>
      </c>
      <c r="F155" s="72">
        <v>40</v>
      </c>
      <c r="G155" s="72">
        <v>32</v>
      </c>
    </row>
    <row r="156" spans="2:7" x14ac:dyDescent="0.25">
      <c r="B156" s="64" t="s">
        <v>342</v>
      </c>
      <c r="C156" s="64" t="s">
        <v>165</v>
      </c>
      <c r="D156" s="72">
        <v>108</v>
      </c>
      <c r="E156" s="72">
        <v>80</v>
      </c>
      <c r="F156" s="72">
        <v>57</v>
      </c>
      <c r="G156" s="72">
        <v>45</v>
      </c>
    </row>
    <row r="157" spans="2:7" x14ac:dyDescent="0.25">
      <c r="B157" s="64" t="s">
        <v>343</v>
      </c>
      <c r="C157" s="64" t="s">
        <v>165</v>
      </c>
      <c r="D157" s="72">
        <v>47</v>
      </c>
      <c r="E157" s="72">
        <v>33</v>
      </c>
      <c r="F157" s="72">
        <v>22</v>
      </c>
      <c r="G157" s="72">
        <v>17</v>
      </c>
    </row>
    <row r="158" spans="2:7" x14ac:dyDescent="0.25">
      <c r="B158" s="64" t="s">
        <v>344</v>
      </c>
      <c r="C158" s="64" t="s">
        <v>165</v>
      </c>
      <c r="D158" s="72">
        <v>47</v>
      </c>
      <c r="E158" s="72">
        <v>33</v>
      </c>
      <c r="F158" s="72">
        <v>22</v>
      </c>
      <c r="G158" s="72">
        <v>17</v>
      </c>
    </row>
    <row r="159" spans="2:7" x14ac:dyDescent="0.25">
      <c r="B159" s="64" t="s">
        <v>345</v>
      </c>
      <c r="C159" s="64" t="s">
        <v>165</v>
      </c>
      <c r="D159" s="72">
        <v>47</v>
      </c>
      <c r="E159" s="72">
        <v>33</v>
      </c>
      <c r="F159" s="72">
        <v>22</v>
      </c>
      <c r="G159" s="72">
        <v>17</v>
      </c>
    </row>
    <row r="160" spans="2:7" x14ac:dyDescent="0.25">
      <c r="B160" s="64" t="s">
        <v>346</v>
      </c>
      <c r="C160" s="64" t="s">
        <v>165</v>
      </c>
      <c r="D160" s="72">
        <v>77</v>
      </c>
      <c r="E160" s="72">
        <v>57</v>
      </c>
      <c r="F160" s="72">
        <v>40</v>
      </c>
      <c r="G160" s="72">
        <v>32</v>
      </c>
    </row>
    <row r="161" spans="2:7" x14ac:dyDescent="0.25">
      <c r="B161" s="64" t="s">
        <v>347</v>
      </c>
      <c r="C161" s="64" t="s">
        <v>165</v>
      </c>
      <c r="D161" s="72">
        <v>47</v>
      </c>
      <c r="E161" s="72">
        <v>33</v>
      </c>
      <c r="F161" s="72">
        <v>22</v>
      </c>
      <c r="G161" s="72">
        <v>17</v>
      </c>
    </row>
    <row r="162" spans="2:7" x14ac:dyDescent="0.25">
      <c r="B162" s="64" t="s">
        <v>348</v>
      </c>
      <c r="C162" s="64" t="s">
        <v>165</v>
      </c>
      <c r="D162" s="72">
        <v>47</v>
      </c>
      <c r="E162" s="72">
        <v>33</v>
      </c>
      <c r="F162" s="72">
        <v>22</v>
      </c>
      <c r="G162" s="72">
        <v>17</v>
      </c>
    </row>
    <row r="163" spans="2:7" x14ac:dyDescent="0.25">
      <c r="B163" s="64" t="s">
        <v>349</v>
      </c>
      <c r="C163" s="64" t="s">
        <v>165</v>
      </c>
      <c r="D163" s="72">
        <v>47</v>
      </c>
      <c r="E163" s="72">
        <v>33</v>
      </c>
      <c r="F163" s="72">
        <v>22</v>
      </c>
      <c r="G163" s="72">
        <v>17</v>
      </c>
    </row>
    <row r="164" spans="2:7" x14ac:dyDescent="0.25">
      <c r="B164" s="64" t="s">
        <v>350</v>
      </c>
      <c r="C164" s="64" t="s">
        <v>165</v>
      </c>
      <c r="D164" s="72">
        <v>77</v>
      </c>
      <c r="E164" s="72">
        <v>57</v>
      </c>
      <c r="F164" s="72">
        <v>40</v>
      </c>
      <c r="G164" s="72">
        <v>32</v>
      </c>
    </row>
    <row r="165" spans="2:7" x14ac:dyDescent="0.25">
      <c r="B165" s="64" t="s">
        <v>351</v>
      </c>
      <c r="C165" s="64" t="s">
        <v>165</v>
      </c>
      <c r="D165" s="72">
        <v>77</v>
      </c>
      <c r="E165" s="72">
        <v>57</v>
      </c>
      <c r="F165" s="72">
        <v>40</v>
      </c>
      <c r="G165" s="72">
        <v>32</v>
      </c>
    </row>
    <row r="166" spans="2:7" x14ac:dyDescent="0.25">
      <c r="B166" s="64" t="s">
        <v>352</v>
      </c>
      <c r="C166" s="64" t="s">
        <v>165</v>
      </c>
      <c r="D166" s="72">
        <v>47</v>
      </c>
      <c r="E166" s="72">
        <v>33</v>
      </c>
      <c r="F166" s="72">
        <v>22</v>
      </c>
      <c r="G166" s="72">
        <v>17</v>
      </c>
    </row>
    <row r="167" spans="2:7" x14ac:dyDescent="0.25">
      <c r="B167" s="64" t="s">
        <v>353</v>
      </c>
      <c r="C167" s="64" t="s">
        <v>165</v>
      </c>
      <c r="D167" s="72">
        <v>47</v>
      </c>
      <c r="E167" s="72">
        <v>33</v>
      </c>
      <c r="F167" s="72">
        <v>22</v>
      </c>
      <c r="G167" s="72">
        <v>17</v>
      </c>
    </row>
    <row r="168" spans="2:7" x14ac:dyDescent="0.25">
      <c r="B168" s="64" t="s">
        <v>354</v>
      </c>
      <c r="C168" s="64" t="s">
        <v>165</v>
      </c>
      <c r="D168" s="72">
        <v>47</v>
      </c>
      <c r="E168" s="72">
        <v>33</v>
      </c>
      <c r="F168" s="72">
        <v>22</v>
      </c>
      <c r="G168" s="72">
        <v>17</v>
      </c>
    </row>
    <row r="169" spans="2:7" x14ac:dyDescent="0.25">
      <c r="B169" s="64" t="s">
        <v>355</v>
      </c>
      <c r="C169" s="64" t="s">
        <v>165</v>
      </c>
      <c r="D169" s="72">
        <v>108</v>
      </c>
      <c r="E169" s="72">
        <v>80</v>
      </c>
      <c r="F169" s="72">
        <v>57</v>
      </c>
      <c r="G169" s="72">
        <v>45</v>
      </c>
    </row>
    <row r="170" spans="2:7" x14ac:dyDescent="0.25">
      <c r="B170" s="64" t="s">
        <v>356</v>
      </c>
      <c r="C170" s="64" t="s">
        <v>165</v>
      </c>
      <c r="D170" s="72">
        <v>47</v>
      </c>
      <c r="E170" s="72">
        <v>33</v>
      </c>
      <c r="F170" s="72">
        <v>22</v>
      </c>
      <c r="G170" s="72">
        <v>17</v>
      </c>
    </row>
    <row r="171" spans="2:7" x14ac:dyDescent="0.25">
      <c r="B171" s="64" t="s">
        <v>357</v>
      </c>
      <c r="C171" s="64" t="s">
        <v>165</v>
      </c>
      <c r="D171" s="72">
        <v>47</v>
      </c>
      <c r="E171" s="72">
        <v>33</v>
      </c>
      <c r="F171" s="72">
        <v>22</v>
      </c>
      <c r="G171" s="72">
        <v>17</v>
      </c>
    </row>
    <row r="172" spans="2:7" x14ac:dyDescent="0.25">
      <c r="B172" s="64" t="s">
        <v>358</v>
      </c>
      <c r="C172" s="64" t="s">
        <v>165</v>
      </c>
      <c r="D172" s="72">
        <v>47</v>
      </c>
      <c r="E172" s="72">
        <v>33</v>
      </c>
      <c r="F172" s="72">
        <v>22</v>
      </c>
      <c r="G172" s="72">
        <v>17</v>
      </c>
    </row>
    <row r="173" spans="2:7" x14ac:dyDescent="0.25">
      <c r="B173" s="64" t="s">
        <v>359</v>
      </c>
      <c r="C173" s="64" t="s">
        <v>165</v>
      </c>
      <c r="D173" s="72">
        <v>77</v>
      </c>
      <c r="E173" s="72">
        <v>57</v>
      </c>
      <c r="F173" s="72">
        <v>40</v>
      </c>
      <c r="G173" s="72">
        <v>32</v>
      </c>
    </row>
    <row r="174" spans="2:7" x14ac:dyDescent="0.25">
      <c r="B174" s="64" t="s">
        <v>360</v>
      </c>
      <c r="C174" s="64" t="s">
        <v>165</v>
      </c>
      <c r="D174" s="72">
        <v>47</v>
      </c>
      <c r="E174" s="72">
        <v>33</v>
      </c>
      <c r="F174" s="72">
        <v>22</v>
      </c>
      <c r="G174" s="72">
        <v>17</v>
      </c>
    </row>
    <row r="175" spans="2:7" x14ac:dyDescent="0.25">
      <c r="B175" s="64" t="s">
        <v>361</v>
      </c>
      <c r="C175" s="64" t="s">
        <v>165</v>
      </c>
      <c r="D175" s="72">
        <v>47</v>
      </c>
      <c r="E175" s="72">
        <v>33</v>
      </c>
      <c r="F175" s="72">
        <v>22</v>
      </c>
      <c r="G175" s="72">
        <v>17</v>
      </c>
    </row>
    <row r="176" spans="2:7" x14ac:dyDescent="0.25">
      <c r="B176" s="64" t="s">
        <v>362</v>
      </c>
      <c r="C176" s="64" t="s">
        <v>165</v>
      </c>
      <c r="D176" s="72">
        <v>47</v>
      </c>
      <c r="E176" s="72">
        <v>33</v>
      </c>
      <c r="F176" s="72">
        <v>22</v>
      </c>
      <c r="G176" s="72">
        <v>17</v>
      </c>
    </row>
    <row r="177" spans="2:7" x14ac:dyDescent="0.25">
      <c r="B177" s="64" t="s">
        <v>363</v>
      </c>
      <c r="C177" s="64" t="s">
        <v>165</v>
      </c>
      <c r="D177" s="72">
        <v>47</v>
      </c>
      <c r="E177" s="72">
        <v>33</v>
      </c>
      <c r="F177" s="72">
        <v>22</v>
      </c>
      <c r="G177" s="72">
        <v>17</v>
      </c>
    </row>
    <row r="178" spans="2:7" x14ac:dyDescent="0.25">
      <c r="B178" s="64" t="s">
        <v>364</v>
      </c>
      <c r="C178" s="64" t="s">
        <v>165</v>
      </c>
      <c r="D178" s="72">
        <v>108</v>
      </c>
      <c r="E178" s="72">
        <v>80</v>
      </c>
      <c r="F178" s="72">
        <v>57</v>
      </c>
      <c r="G178" s="72">
        <v>45</v>
      </c>
    </row>
    <row r="179" spans="2:7" x14ac:dyDescent="0.25">
      <c r="B179" s="64" t="s">
        <v>365</v>
      </c>
      <c r="C179" s="64" t="s">
        <v>165</v>
      </c>
      <c r="D179" s="72">
        <v>108</v>
      </c>
      <c r="E179" s="72">
        <v>80</v>
      </c>
      <c r="F179" s="72">
        <v>57</v>
      </c>
      <c r="G179" s="72">
        <v>45</v>
      </c>
    </row>
    <row r="180" spans="2:7" x14ac:dyDescent="0.25">
      <c r="B180" s="64" t="s">
        <v>366</v>
      </c>
      <c r="C180" s="64" t="s">
        <v>165</v>
      </c>
      <c r="D180" s="72">
        <v>47</v>
      </c>
      <c r="E180" s="72">
        <v>33</v>
      </c>
      <c r="F180" s="72">
        <v>22</v>
      </c>
      <c r="G180" s="72">
        <v>17</v>
      </c>
    </row>
    <row r="181" spans="2:7" x14ac:dyDescent="0.25">
      <c r="B181" s="64" t="s">
        <v>367</v>
      </c>
      <c r="C181" s="64" t="s">
        <v>165</v>
      </c>
      <c r="D181" s="72">
        <v>77</v>
      </c>
      <c r="E181" s="72">
        <v>57</v>
      </c>
      <c r="F181" s="72">
        <v>40</v>
      </c>
      <c r="G181" s="72">
        <v>32</v>
      </c>
    </row>
    <row r="182" spans="2:7" x14ac:dyDescent="0.25">
      <c r="B182" s="64" t="s">
        <v>368</v>
      </c>
      <c r="C182" s="64" t="s">
        <v>165</v>
      </c>
      <c r="D182" s="72">
        <v>108</v>
      </c>
      <c r="E182" s="72">
        <v>80</v>
      </c>
      <c r="F182" s="72">
        <v>57</v>
      </c>
      <c r="G182" s="72">
        <v>45</v>
      </c>
    </row>
    <row r="183" spans="2:7" x14ac:dyDescent="0.25">
      <c r="B183" s="64" t="s">
        <v>369</v>
      </c>
      <c r="C183" s="64" t="s">
        <v>165</v>
      </c>
      <c r="D183" s="72">
        <v>47</v>
      </c>
      <c r="E183" s="72">
        <v>33</v>
      </c>
      <c r="F183" s="72">
        <v>22</v>
      </c>
      <c r="G183" s="72">
        <v>17</v>
      </c>
    </row>
    <row r="184" spans="2:7" x14ac:dyDescent="0.25">
      <c r="B184" s="64" t="s">
        <v>370</v>
      </c>
      <c r="C184" s="64" t="s">
        <v>165</v>
      </c>
      <c r="D184" s="72">
        <v>47</v>
      </c>
      <c r="E184" s="72">
        <v>33</v>
      </c>
      <c r="F184" s="72">
        <v>22</v>
      </c>
      <c r="G184" s="72">
        <v>17</v>
      </c>
    </row>
    <row r="185" spans="2:7" x14ac:dyDescent="0.25">
      <c r="B185" s="64" t="s">
        <v>371</v>
      </c>
      <c r="C185" s="64" t="s">
        <v>165</v>
      </c>
      <c r="D185" s="72">
        <v>108</v>
      </c>
      <c r="E185" s="72">
        <v>80</v>
      </c>
      <c r="F185" s="72">
        <v>57</v>
      </c>
      <c r="G185" s="72">
        <v>45</v>
      </c>
    </row>
    <row r="186" spans="2:7" x14ac:dyDescent="0.25">
      <c r="B186" s="64" t="s">
        <v>372</v>
      </c>
      <c r="C186" s="64" t="s">
        <v>165</v>
      </c>
      <c r="D186" s="72">
        <v>108</v>
      </c>
      <c r="E186" s="72">
        <v>80</v>
      </c>
      <c r="F186" s="72">
        <v>57</v>
      </c>
      <c r="G186" s="72">
        <v>45</v>
      </c>
    </row>
  </sheetData>
  <sheetProtection sheet="1" insertHyperlinks="0" selectLockedCells="1"/>
  <mergeCells count="13">
    <mergeCell ref="P7:Q7"/>
    <mergeCell ref="S7:U7"/>
    <mergeCell ref="B5:G6"/>
    <mergeCell ref="I5:J6"/>
    <mergeCell ref="L5:N6"/>
    <mergeCell ref="P5:Q6"/>
    <mergeCell ref="S5:U6"/>
    <mergeCell ref="B1:U1"/>
    <mergeCell ref="B4:G4"/>
    <mergeCell ref="I4:J4"/>
    <mergeCell ref="L4:N4"/>
    <mergeCell ref="P4:Q4"/>
    <mergeCell ref="S4:U4"/>
  </mergeCells>
  <hyperlinks>
    <hyperlink ref="C2" r:id="rId1"/>
    <hyperlink ref="C3" r:id="rId2"/>
  </hyperlinks>
  <pageMargins left="0.7" right="0.7" top="0.75" bottom="0.75" header="0.3" footer="0.3"/>
  <pageSetup paperSize="9" scale="10" orientation="landscape"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vt:i4>
      </vt:variant>
    </vt:vector>
  </HeadingPairs>
  <TitlesOfParts>
    <vt:vector size="36" baseType="lpstr">
      <vt:lpstr>Overview</vt:lpstr>
      <vt:lpstr>Sheet Validation</vt:lpstr>
      <vt:lpstr>1. Staff costs</vt:lpstr>
      <vt:lpstr> 2-3-6. Travel&amp;Costs of Stay</vt:lpstr>
      <vt:lpstr>4. Equipment Costs</vt:lpstr>
      <vt:lpstr>5. Subcontracting Costs</vt:lpstr>
      <vt:lpstr>Co-financing</vt:lpstr>
      <vt:lpstr>Breakdown &amp; Project Funding</vt:lpstr>
      <vt:lpstr>Unit Costs &amp; Funding Rule</vt:lpstr>
      <vt:lpstr>Category</vt:lpstr>
      <vt:lpstr>Category2</vt:lpstr>
      <vt:lpstr>CountryALL</vt:lpstr>
      <vt:lpstr>CountryEligEquip</vt:lpstr>
      <vt:lpstr>CountryType</vt:lpstr>
      <vt:lpstr>EUCountry</vt:lpstr>
      <vt:lpstr>Exceptional_costs</vt:lpstr>
      <vt:lpstr>PartnerN°</vt:lpstr>
      <vt:lpstr>PartnerN°Ref</vt:lpstr>
      <vt:lpstr>' 2-3-6. Travel&amp;Costs of Stay'!Print_Area</vt:lpstr>
      <vt:lpstr>'1. Staff costs'!Print_Area</vt:lpstr>
      <vt:lpstr>'4. Equipment Costs'!Print_Area</vt:lpstr>
      <vt:lpstr>'5. Subcontracting Costs'!Print_Area</vt:lpstr>
      <vt:lpstr>'Breakdown &amp; Project Funding'!Print_Area</vt:lpstr>
      <vt:lpstr>'Co-financing'!Print_Area</vt:lpstr>
      <vt:lpstr>Overview!Print_Area</vt:lpstr>
      <vt:lpstr>'Sheet Validation'!Print_Area</vt:lpstr>
      <vt:lpstr>'Unit Costs &amp; Funding Rule'!Print_Area</vt:lpstr>
      <vt:lpstr>' 2-3-6. Travel&amp;Costs of Stay'!Print_Titles</vt:lpstr>
      <vt:lpstr>'4. Equipment Costs'!Print_Titles</vt:lpstr>
      <vt:lpstr>'5. Subcontracting Costs'!Print_Titles</vt:lpstr>
      <vt:lpstr>'Breakdown &amp; Project Funding'!Print_Titles</vt:lpstr>
      <vt:lpstr>'Co-financing'!Print_Titles</vt:lpstr>
      <vt:lpstr>Rates</vt:lpstr>
      <vt:lpstr>TravelBands</vt:lpstr>
      <vt:lpstr>TravelCosts</vt:lpstr>
      <vt:lpstr>WorkPackage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2019-10-15T10:49:19Z</dcterms:created>
  <dcterms:modified xsi:type="dcterms:W3CDTF">2023-06-28T20:45:42Z</dcterms:modified>
  <cp:category/>
  <cp:contentStatus/>
</cp:coreProperties>
</file>